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2.xml" ContentType="application/vnd.openxmlformats-officedocument.drawing+xml"/>
  <Override PartName="/xl/ctrlProps/ctrlProp100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0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alhi\OneDrive\Desktop\UofT First Year\Second Semester\MIE1623-Healthcare Engineering\ALL PROJECTS - Copy\MIE1623 - Healthcare OP Engineering\Project - due 05.04.2023\"/>
    </mc:Choice>
  </mc:AlternateContent>
  <xr:revisionPtr revIDLastSave="0" documentId="8_{5551625F-E90A-4EDC-B0E2-44500356FC5F}" xr6:coauthVersionLast="47" xr6:coauthVersionMax="47" xr10:uidLastSave="{00000000-0000-0000-0000-000000000000}"/>
  <bookViews>
    <workbookView xWindow="-108" yWindow="-108" windowWidth="23256" windowHeight="12576" tabRatio="776" xr2:uid="{00000000-000D-0000-FFFF-FFFF00000000}"/>
  </bookViews>
  <sheets>
    <sheet name="Selector" sheetId="19" r:id="rId1"/>
    <sheet name="Results" sheetId="28" r:id="rId2"/>
    <sheet name="Target" sheetId="57" r:id="rId3"/>
    <sheet name="Output" sheetId="22" r:id="rId4"/>
    <sheet name="Input" sheetId="8" r:id="rId5"/>
    <sheet name="DEA Plot" sheetId="33" r:id="rId6"/>
    <sheet name="Normalized_Output" sheetId="23" r:id="rId7"/>
    <sheet name="Normalized_Input" sheetId="27" r:id="rId8"/>
    <sheet name="Calculations" sheetId="25" r:id="rId9"/>
    <sheet name="ORG-Metrics" sheetId="10" r:id="rId10"/>
    <sheet name="PCA" sheetId="78" r:id="rId11"/>
    <sheet name="XLSTAT_20230403_150129_1_HID3" sheetId="82" state="hidden" r:id="rId12"/>
    <sheet name="XLSTAT_20230403_150129_1_HID2" sheetId="81" state="hidden" r:id="rId13"/>
    <sheet name="XLSTAT_20230403_150129_1_HID1" sheetId="80" state="hidden" r:id="rId14"/>
    <sheet name="XLSTAT_20230403_150129_1_HID" sheetId="79" state="hidden" r:id="rId15"/>
    <sheet name="REF LIST" sheetId="4" state="hidden" r:id="rId16"/>
    <sheet name="Main Page" sheetId="9" state="hidden" r:id="rId17"/>
    <sheet name="Sheet3" sheetId="18" state="hidden" r:id="rId18"/>
    <sheet name="Standard Deviation-Teaching" sheetId="138" r:id="rId19"/>
    <sheet name="Standard Deviation-Non Teaching" sheetId="137" r:id="rId20"/>
    <sheet name="Correlation" sheetId="34" r:id="rId21"/>
    <sheet name="Hospital Parsing" sheetId="21" r:id="rId22"/>
    <sheet name="Teaching Hospitals (Size)" sheetId="32" r:id="rId23"/>
    <sheet name="Non-Teaching Hospitals (Size)" sheetId="30" r:id="rId24"/>
  </sheets>
  <externalReferences>
    <externalReference r:id="rId25"/>
    <externalReference r:id="rId26"/>
  </externalReferences>
  <definedNames>
    <definedName name="_xlnm._FilterDatabase" localSheetId="21" hidden="1">'Hospital Parsing'!$A$1:$X$38</definedName>
    <definedName name="_xlpm.n" hidden="1" xlm="1">#NAME?</definedName>
    <definedName name="FindCol" localSheetId="19">_xlfn.LAMBDA(_xlpm.n,CHAR(64+MATCH(_xlpm.n,'[1]ORG-Metrics'!$1:$1,0)))</definedName>
    <definedName name="FindCol" localSheetId="18">_xlfn.LAMBDA(_xlpm.n,CHAR(64+MATCH(_xlpm.n,'[1]ORG-Metrics'!$1:$1,0)))</definedName>
    <definedName name="FindCol">_xlfn.LAMBDA(_xlpm.n,CHAR(64+MATCH(_xlpm.n,'ORG-Metrics'!$1:$1,0)))</definedName>
    <definedName name="solver_adj" localSheetId="8" hidden="1">Calculations!$H$1:$K$1</definedName>
    <definedName name="solver_adj" localSheetId="7" hidden="1">Normalized_Input!#REF!</definedName>
    <definedName name="solver_adj" localSheetId="6" hidden="1">Normalized_Output!#REF!</definedName>
    <definedName name="solver_cvg" localSheetId="8" hidden="1">0.0001</definedName>
    <definedName name="solver_cvg" localSheetId="7" hidden="1">0.0001</definedName>
    <definedName name="solver_cvg" localSheetId="6" hidden="1">0.0001</definedName>
    <definedName name="solver_drv" localSheetId="8" hidden="1">2</definedName>
    <definedName name="solver_drv" localSheetId="7" hidden="1">1</definedName>
    <definedName name="solver_drv" localSheetId="6" hidden="1">1</definedName>
    <definedName name="solver_eng" localSheetId="8" hidden="1">2</definedName>
    <definedName name="solver_eng" localSheetId="7" hidden="1">2</definedName>
    <definedName name="solver_eng" localSheetId="6" hidden="1">2</definedName>
    <definedName name="solver_est" localSheetId="8" hidden="1">1</definedName>
    <definedName name="solver_est" localSheetId="7" hidden="1">1</definedName>
    <definedName name="solver_est" localSheetId="6" hidden="1">1</definedName>
    <definedName name="solver_itr" localSheetId="8" hidden="1">2147483647</definedName>
    <definedName name="solver_itr" localSheetId="7" hidden="1">2147483647</definedName>
    <definedName name="solver_itr" localSheetId="6" hidden="1">2147483647</definedName>
    <definedName name="solver_lhs1" localSheetId="8" hidden="1">Calculations!$G$4:$G$43</definedName>
    <definedName name="solver_lhs1" localSheetId="7" hidden="1">Normalized_Input!#REF!</definedName>
    <definedName name="solver_lhs1" localSheetId="6" hidden="1">Normalized_Output!#REF!</definedName>
    <definedName name="solver_lhs10" localSheetId="8" hidden="1">Calculations!$A$6</definedName>
    <definedName name="solver_lhs11" localSheetId="8" hidden="1">Calculations!$H$1:$K$1</definedName>
    <definedName name="solver_lhs12" localSheetId="8" hidden="1">Calculations!$A$6</definedName>
    <definedName name="solver_lhs13" localSheetId="8" hidden="1">Calculations!$A$6</definedName>
    <definedName name="solver_lhs14" localSheetId="8" hidden="1">Calculations!$A$6</definedName>
    <definedName name="solver_lhs15" localSheetId="8" hidden="1">Calculations!$A$6</definedName>
    <definedName name="solver_lhs16" localSheetId="8" hidden="1">Calculations!$A$6</definedName>
    <definedName name="solver_lhs17" localSheetId="8" hidden="1">Calculations!$A$6</definedName>
    <definedName name="solver_lhs18" localSheetId="8" hidden="1">Calculations!$A$6</definedName>
    <definedName name="solver_lhs19" localSheetId="8" hidden="1">Calculations!$A$6</definedName>
    <definedName name="solver_lhs2" localSheetId="8" hidden="1">Calculations!$A$6</definedName>
    <definedName name="solver_lhs2" localSheetId="7" hidden="1">Normalized_Input!#REF!</definedName>
    <definedName name="solver_lhs2" localSheetId="6" hidden="1">Normalized_Output!#REF!</definedName>
    <definedName name="solver_lhs20" localSheetId="8" hidden="1">Calculations!$A$6</definedName>
    <definedName name="solver_lhs3" localSheetId="8" hidden="1">Calculations!$E$4:$E$43</definedName>
    <definedName name="solver_lhs3" localSheetId="7" hidden="1">Normalized_Input!#REF!</definedName>
    <definedName name="solver_lhs3" localSheetId="6" hidden="1">Normalized_Output!#REF!</definedName>
    <definedName name="solver_lhs4" localSheetId="8" hidden="1">Calculations!$E$4:$E$43</definedName>
    <definedName name="solver_lhs4" localSheetId="7" hidden="1">Normalized_Input!#REF!</definedName>
    <definedName name="solver_lhs4" localSheetId="6" hidden="1">Normalized_Output!#REF!</definedName>
    <definedName name="solver_lhs5" localSheetId="8" hidden="1">Calculations!$A$6</definedName>
    <definedName name="solver_lhs6" localSheetId="8" hidden="1">Calculations!$A$6</definedName>
    <definedName name="solver_lhs7" localSheetId="8" hidden="1">Calculations!$A$6</definedName>
    <definedName name="solver_lhs8" localSheetId="8" hidden="1">Calculations!$A$6</definedName>
    <definedName name="solver_lhs9" localSheetId="8" hidden="1">Calculations!$G$4:$G$43</definedName>
    <definedName name="solver_mip" localSheetId="8" hidden="1">2147483647</definedName>
    <definedName name="solver_mip" localSheetId="7" hidden="1">2147483647</definedName>
    <definedName name="solver_mip" localSheetId="6" hidden="1">2147483647</definedName>
    <definedName name="solver_mni" localSheetId="8" hidden="1">30</definedName>
    <definedName name="solver_mni" localSheetId="7" hidden="1">30</definedName>
    <definedName name="solver_mni" localSheetId="6" hidden="1">30</definedName>
    <definedName name="solver_mrt" localSheetId="8" hidden="1">0.075</definedName>
    <definedName name="solver_mrt" localSheetId="7" hidden="1">0.075</definedName>
    <definedName name="solver_mrt" localSheetId="6" hidden="1">0.075</definedName>
    <definedName name="solver_msl" localSheetId="8" hidden="1">2</definedName>
    <definedName name="solver_msl" localSheetId="7" hidden="1">2</definedName>
    <definedName name="solver_msl" localSheetId="6" hidden="1">2</definedName>
    <definedName name="solver_neg" localSheetId="8" hidden="1">1</definedName>
    <definedName name="solver_neg" localSheetId="7" hidden="1">1</definedName>
    <definedName name="solver_neg" localSheetId="6" hidden="1">1</definedName>
    <definedName name="solver_nod" localSheetId="8" hidden="1">2147483647</definedName>
    <definedName name="solver_nod" localSheetId="7" hidden="1">2147483647</definedName>
    <definedName name="solver_nod" localSheetId="6" hidden="1">2147483647</definedName>
    <definedName name="solver_num" localSheetId="8" hidden="1">3</definedName>
    <definedName name="solver_num" localSheetId="7" hidden="1">4</definedName>
    <definedName name="solver_num" localSheetId="6" hidden="1">4</definedName>
    <definedName name="solver_nwt" localSheetId="8" hidden="1">1</definedName>
    <definedName name="solver_nwt" localSheetId="7" hidden="1">1</definedName>
    <definedName name="solver_nwt" localSheetId="6" hidden="1">1</definedName>
    <definedName name="solver_opt" localSheetId="8" hidden="1">Calculations!$A$4</definedName>
    <definedName name="solver_opt" localSheetId="7" hidden="1">Normalized_Input!#REF!</definedName>
    <definedName name="solver_opt" localSheetId="6" hidden="1">Normalized_Output!#REF!</definedName>
    <definedName name="solver_pre" localSheetId="8" hidden="1">0.000001</definedName>
    <definedName name="solver_pre" localSheetId="7" hidden="1">0.000001</definedName>
    <definedName name="solver_pre" localSheetId="6" hidden="1">0.000001</definedName>
    <definedName name="solver_rbv" localSheetId="8" hidden="1">2</definedName>
    <definedName name="solver_rbv" localSheetId="7" hidden="1">1</definedName>
    <definedName name="solver_rbv" localSheetId="6" hidden="1">1</definedName>
    <definedName name="solver_rel1" localSheetId="8" hidden="1">1</definedName>
    <definedName name="solver_rel1" localSheetId="7" hidden="1">2</definedName>
    <definedName name="solver_rel1" localSheetId="6" hidden="1">2</definedName>
    <definedName name="solver_rel10" localSheetId="8" hidden="1">1</definedName>
    <definedName name="solver_rel11" localSheetId="8" hidden="1">3</definedName>
    <definedName name="solver_rel12" localSheetId="8" hidden="1">1</definedName>
    <definedName name="solver_rel13" localSheetId="8" hidden="1">1</definedName>
    <definedName name="solver_rel14" localSheetId="8" hidden="1">1</definedName>
    <definedName name="solver_rel15" localSheetId="8" hidden="1">1</definedName>
    <definedName name="solver_rel16" localSheetId="8" hidden="1">1</definedName>
    <definedName name="solver_rel17" localSheetId="8" hidden="1">1</definedName>
    <definedName name="solver_rel18" localSheetId="8" hidden="1">1</definedName>
    <definedName name="solver_rel19" localSheetId="8" hidden="1">1</definedName>
    <definedName name="solver_rel2" localSheetId="8" hidden="1">2</definedName>
    <definedName name="solver_rel2" localSheetId="7" hidden="1">1</definedName>
    <definedName name="solver_rel2" localSheetId="6" hidden="1">1</definedName>
    <definedName name="solver_rel20" localSheetId="8" hidden="1">1</definedName>
    <definedName name="solver_rel3" localSheetId="8" hidden="1">1</definedName>
    <definedName name="solver_rel3" localSheetId="7" hidden="1">1</definedName>
    <definedName name="solver_rel3" localSheetId="6" hidden="1">1</definedName>
    <definedName name="solver_rel4" localSheetId="8" hidden="1">1</definedName>
    <definedName name="solver_rel4" localSheetId="7" hidden="1">3</definedName>
    <definedName name="solver_rel4" localSheetId="6" hidden="1">3</definedName>
    <definedName name="solver_rel5" localSheetId="8" hidden="1">1</definedName>
    <definedName name="solver_rel6" localSheetId="8" hidden="1">1</definedName>
    <definedName name="solver_rel7" localSheetId="8" hidden="1">1</definedName>
    <definedName name="solver_rel8" localSheetId="8" hidden="1">2</definedName>
    <definedName name="solver_rel9" localSheetId="8" hidden="1">1</definedName>
    <definedName name="solver_rhs1" localSheetId="8" hidden="1">0</definedName>
    <definedName name="solver_rhs1" localSheetId="7" hidden="1">1</definedName>
    <definedName name="solver_rhs1" localSheetId="6" hidden="1">1</definedName>
    <definedName name="solver_rhs10" localSheetId="8" hidden="1">1</definedName>
    <definedName name="solver_rhs11" localSheetId="8" hidden="1">0</definedName>
    <definedName name="solver_rhs12" localSheetId="8" hidden="1">1</definedName>
    <definedName name="solver_rhs13" localSheetId="8" hidden="1">1</definedName>
    <definedName name="solver_rhs14" localSheetId="8" hidden="1">1</definedName>
    <definedName name="solver_rhs15" localSheetId="8" hidden="1">1</definedName>
    <definedName name="solver_rhs16" localSheetId="8" hidden="1">1</definedName>
    <definedName name="solver_rhs17" localSheetId="8" hidden="1">1</definedName>
    <definedName name="solver_rhs18" localSheetId="8" hidden="1">1</definedName>
    <definedName name="solver_rhs19" localSheetId="8" hidden="1">1</definedName>
    <definedName name="solver_rhs2" localSheetId="8" hidden="1">1</definedName>
    <definedName name="solver_rhs2" localSheetId="7" hidden="1">0</definedName>
    <definedName name="solver_rhs2" localSheetId="6" hidden="1">0</definedName>
    <definedName name="solver_rhs20" localSheetId="8" hidden="1">1</definedName>
    <definedName name="solver_rhs3" localSheetId="8" hidden="1">Calculations!$F$4:$F$43</definedName>
    <definedName name="solver_rhs3" localSheetId="7" hidden="1">1</definedName>
    <definedName name="solver_rhs3" localSheetId="6" hidden="1">1</definedName>
    <definedName name="solver_rhs4" localSheetId="8" hidden="1">1</definedName>
    <definedName name="solver_rhs4" localSheetId="7" hidden="1">0</definedName>
    <definedName name="solver_rhs4" localSheetId="6" hidden="1">0</definedName>
    <definedName name="solver_rhs5" localSheetId="8" hidden="1">1</definedName>
    <definedName name="solver_rhs6" localSheetId="8" hidden="1">1</definedName>
    <definedName name="solver_rhs7" localSheetId="8" hidden="1">1</definedName>
    <definedName name="solver_rhs8" localSheetId="8" hidden="1">1</definedName>
    <definedName name="solver_rhs9" localSheetId="8" hidden="1">0</definedName>
    <definedName name="solver_rlx" localSheetId="8" hidden="1">2</definedName>
    <definedName name="solver_rlx" localSheetId="7" hidden="1">2</definedName>
    <definedName name="solver_rlx" localSheetId="6" hidden="1">2</definedName>
    <definedName name="solver_rsd" localSheetId="8" hidden="1">0</definedName>
    <definedName name="solver_rsd" localSheetId="7" hidden="1">0</definedName>
    <definedName name="solver_rsd" localSheetId="6" hidden="1">0</definedName>
    <definedName name="solver_scl" localSheetId="8" hidden="1">2</definedName>
    <definedName name="solver_scl" localSheetId="7" hidden="1">1</definedName>
    <definedName name="solver_scl" localSheetId="6" hidden="1">1</definedName>
    <definedName name="solver_sho" localSheetId="8" hidden="1">2</definedName>
    <definedName name="solver_sho" localSheetId="7" hidden="1">2</definedName>
    <definedName name="solver_sho" localSheetId="6" hidden="1">2</definedName>
    <definedName name="solver_ssz" localSheetId="8" hidden="1">100</definedName>
    <definedName name="solver_ssz" localSheetId="7" hidden="1">100</definedName>
    <definedName name="solver_ssz" localSheetId="6" hidden="1">100</definedName>
    <definedName name="solver_tim" localSheetId="8" hidden="1">2147483647</definedName>
    <definedName name="solver_tim" localSheetId="7" hidden="1">2147483647</definedName>
    <definedName name="solver_tim" localSheetId="6" hidden="1">2147483647</definedName>
    <definedName name="solver_tol" localSheetId="8" hidden="1">0.01</definedName>
    <definedName name="solver_tol" localSheetId="7" hidden="1">0.01</definedName>
    <definedName name="solver_tol" localSheetId="6" hidden="1">0.01</definedName>
    <definedName name="solver_typ" localSheetId="8" hidden="1">1</definedName>
    <definedName name="solver_typ" localSheetId="7" hidden="1">1</definedName>
    <definedName name="solver_typ" localSheetId="6" hidden="1">1</definedName>
    <definedName name="solver_val" localSheetId="8" hidden="1">0</definedName>
    <definedName name="solver_val" localSheetId="7" hidden="1">0</definedName>
    <definedName name="solver_val" localSheetId="6" hidden="1">0</definedName>
    <definedName name="solver_ver" localSheetId="8" hidden="1">3</definedName>
    <definedName name="solver_ver" localSheetId="7" hidden="1">3</definedName>
    <definedName name="solver_ver" localSheetId="6" hidden="1">3</definedName>
    <definedName name="tab20230403_150129_RunProcPCA_1_2982" localSheetId="10" hidden="1">PCA!$B$186:$G$205</definedName>
    <definedName name="tab20230403_150129_RunProcPCA_1_2983" localSheetId="10" hidden="1">PCA!$B$311:$G$343</definedName>
    <definedName name="tab20230403_150129_RunProcPCA_1_2984" localSheetId="10" hidden="1">PCA!$B$210:$G$229</definedName>
    <definedName name="tab20230403_150129_RunProcPCA_1_75" localSheetId="10" hidden="1">PCA!$B$120:$G$139</definedName>
    <definedName name="tab20230403_150129_RunProcPCA_1_76" localSheetId="10" hidden="1">PCA!$B$235:$G$267</definedName>
    <definedName name="tab20230403_150129_RunProcPCA_1_86" localSheetId="10" hidden="1">PCA!$B$144:$G$163</definedName>
    <definedName name="tab20230403_150129_RunProcPCA_2_76" localSheetId="10" hidden="1">PCA!$B$376:$G$408</definedName>
    <definedName name="xcirclez1" localSheetId="13" hidden="1">XLSTAT_20230403_150129_1_HID1!$C$1:$C$500</definedName>
    <definedName name="ycirclez1" localSheetId="13" hidden="1">XLSTAT_20230403_150129_1_HID1!$D$1:$D$500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35" i="138" l="1"/>
  <c r="U35" i="138"/>
  <c r="T35" i="138"/>
  <c r="S35" i="138"/>
  <c r="R35" i="138"/>
  <c r="Q35" i="138"/>
  <c r="P35" i="138"/>
  <c r="O35" i="138"/>
  <c r="N35" i="138"/>
  <c r="M35" i="138"/>
  <c r="L35" i="138"/>
  <c r="K35" i="138"/>
  <c r="J35" i="138"/>
  <c r="I35" i="138"/>
  <c r="H35" i="138"/>
  <c r="G35" i="138"/>
  <c r="F35" i="138"/>
  <c r="E35" i="138"/>
  <c r="D35" i="138"/>
  <c r="C35" i="138"/>
  <c r="V34" i="138"/>
  <c r="V37" i="138" s="1"/>
  <c r="U34" i="138"/>
  <c r="U37" i="138" s="1"/>
  <c r="T34" i="138"/>
  <c r="T37" i="138" s="1"/>
  <c r="S34" i="138"/>
  <c r="S37" i="138" s="1"/>
  <c r="R34" i="138"/>
  <c r="R37" i="138" s="1"/>
  <c r="Q34" i="138"/>
  <c r="Q37" i="138" s="1"/>
  <c r="P34" i="138"/>
  <c r="P37" i="138" s="1"/>
  <c r="O34" i="138"/>
  <c r="O37" i="138" s="1"/>
  <c r="N34" i="138"/>
  <c r="N37" i="138" s="1"/>
  <c r="M34" i="138"/>
  <c r="M37" i="138" s="1"/>
  <c r="L34" i="138"/>
  <c r="L37" i="138" s="1"/>
  <c r="K34" i="138"/>
  <c r="K37" i="138" s="1"/>
  <c r="J34" i="138"/>
  <c r="J37" i="138" s="1"/>
  <c r="I34" i="138"/>
  <c r="I37" i="138" s="1"/>
  <c r="H34" i="138"/>
  <c r="H37" i="138" s="1"/>
  <c r="G34" i="138"/>
  <c r="G37" i="138" s="1"/>
  <c r="F34" i="138"/>
  <c r="F37" i="138" s="1"/>
  <c r="E34" i="138"/>
  <c r="E37" i="138" s="1"/>
  <c r="D34" i="138"/>
  <c r="D37" i="138" s="1"/>
  <c r="C34" i="138"/>
  <c r="C37" i="138" s="1"/>
  <c r="V21" i="138"/>
  <c r="U21" i="138"/>
  <c r="T21" i="138"/>
  <c r="S21" i="138"/>
  <c r="R21" i="138"/>
  <c r="Q21" i="138"/>
  <c r="P21" i="138"/>
  <c r="O21" i="138"/>
  <c r="N21" i="138"/>
  <c r="M21" i="138"/>
  <c r="L21" i="138"/>
  <c r="K21" i="138"/>
  <c r="J21" i="138"/>
  <c r="I21" i="138"/>
  <c r="H21" i="138"/>
  <c r="G21" i="138"/>
  <c r="F21" i="138"/>
  <c r="E21" i="138"/>
  <c r="D21" i="138"/>
  <c r="C21" i="138"/>
  <c r="V20" i="138"/>
  <c r="V23" i="138" s="1"/>
  <c r="U20" i="138"/>
  <c r="U23" i="138" s="1"/>
  <c r="T20" i="138"/>
  <c r="T23" i="138" s="1"/>
  <c r="S20" i="138"/>
  <c r="S23" i="138" s="1"/>
  <c r="R20" i="138"/>
  <c r="R23" i="138" s="1"/>
  <c r="Q20" i="138"/>
  <c r="Q23" i="138" s="1"/>
  <c r="P20" i="138"/>
  <c r="P23" i="138" s="1"/>
  <c r="O20" i="138"/>
  <c r="O23" i="138" s="1"/>
  <c r="N20" i="138"/>
  <c r="N23" i="138" s="1"/>
  <c r="M20" i="138"/>
  <c r="M23" i="138" s="1"/>
  <c r="L20" i="138"/>
  <c r="L23" i="138" s="1"/>
  <c r="K20" i="138"/>
  <c r="K23" i="138" s="1"/>
  <c r="J20" i="138"/>
  <c r="J23" i="138" s="1"/>
  <c r="I20" i="138"/>
  <c r="I23" i="138" s="1"/>
  <c r="H20" i="138"/>
  <c r="H23" i="138" s="1"/>
  <c r="G20" i="138"/>
  <c r="G23" i="138" s="1"/>
  <c r="F20" i="138"/>
  <c r="F23" i="138" s="1"/>
  <c r="E20" i="138"/>
  <c r="E23" i="138" s="1"/>
  <c r="D20" i="138"/>
  <c r="D23" i="138" s="1"/>
  <c r="C20" i="138"/>
  <c r="C23" i="138" s="1"/>
  <c r="V11" i="138"/>
  <c r="U11" i="138"/>
  <c r="T11" i="138"/>
  <c r="S11" i="138"/>
  <c r="R11" i="138"/>
  <c r="Q11" i="138"/>
  <c r="P11" i="138"/>
  <c r="O11" i="138"/>
  <c r="N11" i="138"/>
  <c r="M11" i="138"/>
  <c r="L11" i="138"/>
  <c r="K11" i="138"/>
  <c r="J11" i="138"/>
  <c r="I11" i="138"/>
  <c r="H11" i="138"/>
  <c r="G11" i="138"/>
  <c r="F11" i="138"/>
  <c r="E11" i="138"/>
  <c r="D11" i="138"/>
  <c r="C11" i="138"/>
  <c r="V10" i="138"/>
  <c r="V13" i="138" s="1"/>
  <c r="U10" i="138"/>
  <c r="U13" i="138" s="1"/>
  <c r="T10" i="138"/>
  <c r="T13" i="138" s="1"/>
  <c r="S10" i="138"/>
  <c r="S13" i="138" s="1"/>
  <c r="R10" i="138"/>
  <c r="R13" i="138" s="1"/>
  <c r="Q10" i="138"/>
  <c r="Q13" i="138" s="1"/>
  <c r="P10" i="138"/>
  <c r="P13" i="138" s="1"/>
  <c r="O10" i="138"/>
  <c r="O13" i="138" s="1"/>
  <c r="N10" i="138"/>
  <c r="N13" i="138" s="1"/>
  <c r="M10" i="138"/>
  <c r="M13" i="138" s="1"/>
  <c r="L10" i="138"/>
  <c r="L13" i="138" s="1"/>
  <c r="K10" i="138"/>
  <c r="K13" i="138" s="1"/>
  <c r="J10" i="138"/>
  <c r="J13" i="138" s="1"/>
  <c r="I10" i="138"/>
  <c r="I13" i="138" s="1"/>
  <c r="H10" i="138"/>
  <c r="H13" i="138" s="1"/>
  <c r="G10" i="138"/>
  <c r="G13" i="138" s="1"/>
  <c r="F10" i="138"/>
  <c r="F13" i="138" s="1"/>
  <c r="E10" i="138"/>
  <c r="E13" i="138" s="1"/>
  <c r="D10" i="138"/>
  <c r="D13" i="138" s="1"/>
  <c r="C10" i="138"/>
  <c r="C13" i="138" s="1"/>
  <c r="V34" i="137" l="1"/>
  <c r="U34" i="137"/>
  <c r="T34" i="137"/>
  <c r="S34" i="137"/>
  <c r="R34" i="137"/>
  <c r="Q34" i="137"/>
  <c r="P34" i="137"/>
  <c r="O34" i="137"/>
  <c r="N34" i="137"/>
  <c r="M34" i="137"/>
  <c r="L34" i="137"/>
  <c r="K34" i="137"/>
  <c r="J34" i="137"/>
  <c r="I34" i="137"/>
  <c r="H34" i="137"/>
  <c r="G34" i="137"/>
  <c r="F34" i="137"/>
  <c r="E34" i="137"/>
  <c r="D34" i="137"/>
  <c r="C34" i="137"/>
  <c r="V33" i="137"/>
  <c r="V36" i="137" s="1"/>
  <c r="U33" i="137"/>
  <c r="U36" i="137" s="1"/>
  <c r="T33" i="137"/>
  <c r="T36" i="137" s="1"/>
  <c r="S33" i="137"/>
  <c r="S36" i="137" s="1"/>
  <c r="R33" i="137"/>
  <c r="R36" i="137" s="1"/>
  <c r="Q33" i="137"/>
  <c r="Q36" i="137" s="1"/>
  <c r="P33" i="137"/>
  <c r="P36" i="137" s="1"/>
  <c r="O33" i="137"/>
  <c r="O36" i="137" s="1"/>
  <c r="N33" i="137"/>
  <c r="N36" i="137" s="1"/>
  <c r="M33" i="137"/>
  <c r="M36" i="137" s="1"/>
  <c r="L33" i="137"/>
  <c r="L36" i="137" s="1"/>
  <c r="K33" i="137"/>
  <c r="K36" i="137" s="1"/>
  <c r="J33" i="137"/>
  <c r="J36" i="137" s="1"/>
  <c r="I33" i="137"/>
  <c r="I36" i="137" s="1"/>
  <c r="H33" i="137"/>
  <c r="H36" i="137" s="1"/>
  <c r="G33" i="137"/>
  <c r="G36" i="137" s="1"/>
  <c r="F33" i="137"/>
  <c r="F36" i="137" s="1"/>
  <c r="E33" i="137"/>
  <c r="E36" i="137" s="1"/>
  <c r="D33" i="137"/>
  <c r="D36" i="137" s="1"/>
  <c r="C33" i="137"/>
  <c r="C36" i="137" s="1"/>
  <c r="Q24" i="137"/>
  <c r="V22" i="137"/>
  <c r="U22" i="137"/>
  <c r="T22" i="137"/>
  <c r="S22" i="137"/>
  <c r="R22" i="137"/>
  <c r="Q22" i="137"/>
  <c r="P22" i="137"/>
  <c r="O22" i="137"/>
  <c r="N22" i="137"/>
  <c r="M22" i="137"/>
  <c r="L22" i="137"/>
  <c r="K22" i="137"/>
  <c r="J22" i="137"/>
  <c r="I22" i="137"/>
  <c r="H22" i="137"/>
  <c r="G22" i="137"/>
  <c r="F22" i="137"/>
  <c r="E22" i="137"/>
  <c r="D22" i="137"/>
  <c r="C22" i="137"/>
  <c r="V21" i="137"/>
  <c r="V24" i="137" s="1"/>
  <c r="U21" i="137"/>
  <c r="U24" i="137" s="1"/>
  <c r="T21" i="137"/>
  <c r="T24" i="137" s="1"/>
  <c r="S21" i="137"/>
  <c r="S24" i="137" s="1"/>
  <c r="R21" i="137"/>
  <c r="R24" i="137" s="1"/>
  <c r="Q21" i="137"/>
  <c r="P21" i="137"/>
  <c r="P24" i="137" s="1"/>
  <c r="O21" i="137"/>
  <c r="O24" i="137" s="1"/>
  <c r="N21" i="137"/>
  <c r="N24" i="137" s="1"/>
  <c r="M21" i="137"/>
  <c r="M24" i="137" s="1"/>
  <c r="L21" i="137"/>
  <c r="L24" i="137" s="1"/>
  <c r="K21" i="137"/>
  <c r="K24" i="137" s="1"/>
  <c r="J21" i="137"/>
  <c r="J24" i="137" s="1"/>
  <c r="I21" i="137"/>
  <c r="I24" i="137" s="1"/>
  <c r="H21" i="137"/>
  <c r="H24" i="137" s="1"/>
  <c r="G21" i="137"/>
  <c r="G24" i="137" s="1"/>
  <c r="F21" i="137"/>
  <c r="F24" i="137" s="1"/>
  <c r="E21" i="137"/>
  <c r="E24" i="137" s="1"/>
  <c r="D21" i="137"/>
  <c r="D24" i="137" s="1"/>
  <c r="C21" i="137"/>
  <c r="C24" i="137" s="1"/>
  <c r="V11" i="137"/>
  <c r="U11" i="137"/>
  <c r="T11" i="137"/>
  <c r="S11" i="137"/>
  <c r="R11" i="137"/>
  <c r="Q11" i="137"/>
  <c r="P11" i="137"/>
  <c r="O11" i="137"/>
  <c r="N11" i="137"/>
  <c r="M11" i="137"/>
  <c r="L11" i="137"/>
  <c r="K11" i="137"/>
  <c r="J11" i="137"/>
  <c r="I11" i="137"/>
  <c r="H11" i="137"/>
  <c r="G11" i="137"/>
  <c r="F11" i="137"/>
  <c r="E11" i="137"/>
  <c r="D11" i="137"/>
  <c r="C11" i="137"/>
  <c r="V10" i="137"/>
  <c r="V13" i="137" s="1"/>
  <c r="U10" i="137"/>
  <c r="U13" i="137" s="1"/>
  <c r="T10" i="137"/>
  <c r="T13" i="137" s="1"/>
  <c r="S10" i="137"/>
  <c r="S13" i="137" s="1"/>
  <c r="R10" i="137"/>
  <c r="R13" i="137" s="1"/>
  <c r="Q10" i="137"/>
  <c r="Q13" i="137" s="1"/>
  <c r="P10" i="137"/>
  <c r="P13" i="137" s="1"/>
  <c r="O10" i="137"/>
  <c r="O13" i="137" s="1"/>
  <c r="N10" i="137"/>
  <c r="N13" i="137" s="1"/>
  <c r="M10" i="137"/>
  <c r="M13" i="137" s="1"/>
  <c r="L10" i="137"/>
  <c r="L13" i="137" s="1"/>
  <c r="K10" i="137"/>
  <c r="K13" i="137" s="1"/>
  <c r="J10" i="137"/>
  <c r="J13" i="137" s="1"/>
  <c r="I10" i="137"/>
  <c r="I13" i="137" s="1"/>
  <c r="H10" i="137"/>
  <c r="H13" i="137" s="1"/>
  <c r="G10" i="137"/>
  <c r="G13" i="137" s="1"/>
  <c r="F10" i="137"/>
  <c r="F13" i="137" s="1"/>
  <c r="E10" i="137"/>
  <c r="E13" i="137" s="1"/>
  <c r="D10" i="137"/>
  <c r="D13" i="137" s="1"/>
  <c r="C10" i="137"/>
  <c r="C13" i="137" s="1"/>
  <c r="C2" i="8" l="1" a="1"/>
  <c r="C2" i="8" s="1"/>
  <c r="C2" i="22" a="1"/>
  <c r="C2" i="22" s="1"/>
  <c r="D1" i="80"/>
  <c r="D2" i="80"/>
  <c r="D3" i="80"/>
  <c r="D4" i="80"/>
  <c r="D5" i="80"/>
  <c r="D6" i="80"/>
  <c r="D7" i="80"/>
  <c r="D8" i="80"/>
  <c r="D9" i="80"/>
  <c r="D10" i="80"/>
  <c r="D11" i="80"/>
  <c r="D12" i="80"/>
  <c r="D13" i="80"/>
  <c r="D14" i="80"/>
  <c r="D15" i="80"/>
  <c r="D16" i="80"/>
  <c r="D17" i="80"/>
  <c r="D18" i="80"/>
  <c r="D19" i="80"/>
  <c r="D20" i="80"/>
  <c r="D21" i="80"/>
  <c r="D22" i="80"/>
  <c r="D23" i="80"/>
  <c r="D24" i="80"/>
  <c r="D25" i="80"/>
  <c r="D26" i="80"/>
  <c r="D27" i="80"/>
  <c r="D28" i="80"/>
  <c r="D29" i="80"/>
  <c r="D30" i="80"/>
  <c r="D31" i="80"/>
  <c r="D32" i="80"/>
  <c r="D33" i="80"/>
  <c r="D34" i="80"/>
  <c r="D35" i="80"/>
  <c r="D36" i="80"/>
  <c r="D37" i="80"/>
  <c r="D38" i="80"/>
  <c r="D39" i="80"/>
  <c r="D40" i="80"/>
  <c r="D41" i="80"/>
  <c r="D42" i="80"/>
  <c r="D43" i="80"/>
  <c r="D44" i="80"/>
  <c r="D45" i="80"/>
  <c r="D46" i="80"/>
  <c r="D47" i="80"/>
  <c r="D48" i="80"/>
  <c r="D49" i="80"/>
  <c r="D50" i="80"/>
  <c r="D51" i="80"/>
  <c r="D52" i="80"/>
  <c r="D53" i="80"/>
  <c r="D54" i="80"/>
  <c r="D55" i="80"/>
  <c r="D56" i="80"/>
  <c r="D57" i="80"/>
  <c r="D58" i="80"/>
  <c r="D59" i="80"/>
  <c r="D60" i="80"/>
  <c r="D61" i="80"/>
  <c r="D62" i="80"/>
  <c r="D63" i="80"/>
  <c r="D64" i="80"/>
  <c r="D65" i="80"/>
  <c r="D66" i="80"/>
  <c r="D67" i="80"/>
  <c r="D68" i="80"/>
  <c r="D69" i="80"/>
  <c r="D70" i="80"/>
  <c r="D71" i="80"/>
  <c r="D72" i="80"/>
  <c r="D73" i="80"/>
  <c r="D74" i="80"/>
  <c r="D75" i="80"/>
  <c r="D76" i="80"/>
  <c r="D77" i="80"/>
  <c r="D78" i="80"/>
  <c r="D79" i="80"/>
  <c r="D80" i="80"/>
  <c r="D81" i="80"/>
  <c r="D82" i="80"/>
  <c r="D83" i="80"/>
  <c r="D84" i="80"/>
  <c r="D85" i="80"/>
  <c r="D86" i="80"/>
  <c r="D87" i="80"/>
  <c r="D88" i="80"/>
  <c r="D89" i="80"/>
  <c r="D90" i="80"/>
  <c r="D91" i="80"/>
  <c r="D92" i="80"/>
  <c r="D93" i="80"/>
  <c r="D94" i="80"/>
  <c r="D95" i="80"/>
  <c r="D96" i="80"/>
  <c r="D97" i="80"/>
  <c r="D98" i="80"/>
  <c r="D99" i="80"/>
  <c r="D100" i="80"/>
  <c r="D101" i="80"/>
  <c r="D102" i="80"/>
  <c r="D103" i="80"/>
  <c r="D104" i="80"/>
  <c r="D105" i="80"/>
  <c r="D106" i="80"/>
  <c r="D107" i="80"/>
  <c r="D108" i="80"/>
  <c r="D109" i="80"/>
  <c r="D110" i="80"/>
  <c r="D111" i="80"/>
  <c r="D112" i="80"/>
  <c r="D113" i="80"/>
  <c r="D114" i="80"/>
  <c r="D115" i="80"/>
  <c r="D116" i="80"/>
  <c r="D117" i="80"/>
  <c r="D118" i="80"/>
  <c r="D119" i="80"/>
  <c r="D120" i="80"/>
  <c r="D121" i="80"/>
  <c r="D122" i="80"/>
  <c r="D123" i="80"/>
  <c r="D124" i="80"/>
  <c r="D125" i="80"/>
  <c r="D126" i="80"/>
  <c r="D127" i="80"/>
  <c r="D128" i="80"/>
  <c r="D129" i="80"/>
  <c r="D130" i="80"/>
  <c r="D131" i="80"/>
  <c r="D132" i="80"/>
  <c r="D133" i="80"/>
  <c r="D134" i="80"/>
  <c r="D135" i="80"/>
  <c r="D136" i="80"/>
  <c r="D137" i="80"/>
  <c r="D138" i="80"/>
  <c r="D139" i="80"/>
  <c r="D140" i="80"/>
  <c r="D141" i="80"/>
  <c r="D142" i="80"/>
  <c r="D143" i="80"/>
  <c r="D144" i="80"/>
  <c r="D145" i="80"/>
  <c r="D146" i="80"/>
  <c r="D147" i="80"/>
  <c r="D148" i="80"/>
  <c r="D149" i="80"/>
  <c r="D150" i="80"/>
  <c r="D151" i="80"/>
  <c r="D152" i="80"/>
  <c r="D153" i="80"/>
  <c r="D154" i="80"/>
  <c r="D155" i="80"/>
  <c r="D156" i="80"/>
  <c r="D157" i="80"/>
  <c r="D158" i="80"/>
  <c r="D159" i="80"/>
  <c r="D160" i="80"/>
  <c r="D161" i="80"/>
  <c r="D162" i="80"/>
  <c r="D163" i="80"/>
  <c r="D164" i="80"/>
  <c r="D165" i="80"/>
  <c r="D166" i="80"/>
  <c r="D167" i="80"/>
  <c r="D168" i="80"/>
  <c r="D169" i="80"/>
  <c r="D170" i="80"/>
  <c r="D171" i="80"/>
  <c r="D172" i="80"/>
  <c r="D173" i="80"/>
  <c r="D174" i="80"/>
  <c r="D175" i="80"/>
  <c r="D176" i="80"/>
  <c r="D177" i="80"/>
  <c r="D178" i="80"/>
  <c r="D179" i="80"/>
  <c r="D180" i="80"/>
  <c r="D181" i="80"/>
  <c r="D182" i="80"/>
  <c r="D183" i="80"/>
  <c r="D184" i="80"/>
  <c r="D185" i="80"/>
  <c r="D186" i="80"/>
  <c r="D187" i="80"/>
  <c r="D188" i="80"/>
  <c r="D189" i="80"/>
  <c r="D190" i="80"/>
  <c r="D191" i="80"/>
  <c r="D192" i="80"/>
  <c r="D193" i="80"/>
  <c r="D194" i="80"/>
  <c r="D195" i="80"/>
  <c r="D196" i="80"/>
  <c r="D197" i="80"/>
  <c r="D198" i="80"/>
  <c r="D199" i="80"/>
  <c r="D200" i="80"/>
  <c r="D201" i="80"/>
  <c r="D202" i="80"/>
  <c r="D203" i="80"/>
  <c r="D204" i="80"/>
  <c r="D205" i="80"/>
  <c r="D206" i="80"/>
  <c r="D207" i="80"/>
  <c r="D208" i="80"/>
  <c r="D209" i="80"/>
  <c r="D210" i="80"/>
  <c r="D211" i="80"/>
  <c r="D212" i="80"/>
  <c r="D213" i="80"/>
  <c r="D214" i="80"/>
  <c r="D215" i="80"/>
  <c r="D216" i="80"/>
  <c r="D217" i="80"/>
  <c r="D218" i="80"/>
  <c r="D219" i="80"/>
  <c r="D220" i="80"/>
  <c r="D221" i="80"/>
  <c r="D222" i="80"/>
  <c r="D223" i="80"/>
  <c r="D224" i="80"/>
  <c r="D225" i="80"/>
  <c r="D226" i="80"/>
  <c r="D227" i="80"/>
  <c r="D228" i="80"/>
  <c r="D229" i="80"/>
  <c r="D230" i="80"/>
  <c r="D231" i="80"/>
  <c r="D232" i="80"/>
  <c r="D233" i="80"/>
  <c r="D234" i="80"/>
  <c r="D235" i="80"/>
  <c r="D236" i="80"/>
  <c r="D237" i="80"/>
  <c r="D238" i="80"/>
  <c r="D239" i="80"/>
  <c r="D240" i="80"/>
  <c r="D241" i="80"/>
  <c r="D242" i="80"/>
  <c r="D243" i="80"/>
  <c r="D244" i="80"/>
  <c r="D245" i="80"/>
  <c r="D246" i="80"/>
  <c r="D247" i="80"/>
  <c r="D248" i="80"/>
  <c r="D249" i="80"/>
  <c r="D250" i="80"/>
  <c r="D251" i="80"/>
  <c r="D252" i="80"/>
  <c r="D253" i="80"/>
  <c r="D254" i="80"/>
  <c r="D255" i="80"/>
  <c r="D256" i="80"/>
  <c r="D257" i="80"/>
  <c r="D258" i="80"/>
  <c r="D259" i="80"/>
  <c r="D260" i="80"/>
  <c r="D261" i="80"/>
  <c r="D262" i="80"/>
  <c r="D263" i="80"/>
  <c r="D264" i="80"/>
  <c r="D265" i="80"/>
  <c r="D266" i="80"/>
  <c r="D267" i="80"/>
  <c r="D268" i="80"/>
  <c r="D269" i="80"/>
  <c r="D270" i="80"/>
  <c r="D271" i="80"/>
  <c r="D272" i="80"/>
  <c r="D273" i="80"/>
  <c r="D274" i="80"/>
  <c r="D275" i="80"/>
  <c r="D276" i="80"/>
  <c r="D277" i="80"/>
  <c r="D278" i="80"/>
  <c r="D279" i="80"/>
  <c r="D280" i="80"/>
  <c r="D281" i="80"/>
  <c r="D282" i="80"/>
  <c r="D283" i="80"/>
  <c r="D284" i="80"/>
  <c r="D285" i="80"/>
  <c r="D286" i="80"/>
  <c r="D287" i="80"/>
  <c r="D288" i="80"/>
  <c r="D289" i="80"/>
  <c r="D290" i="80"/>
  <c r="D291" i="80"/>
  <c r="D292" i="80"/>
  <c r="D293" i="80"/>
  <c r="D294" i="80"/>
  <c r="D295" i="80"/>
  <c r="D296" i="80"/>
  <c r="D297" i="80"/>
  <c r="D298" i="80"/>
  <c r="D299" i="80"/>
  <c r="D300" i="80"/>
  <c r="D301" i="80"/>
  <c r="D302" i="80"/>
  <c r="D303" i="80"/>
  <c r="D304" i="80"/>
  <c r="D305" i="80"/>
  <c r="D306" i="80"/>
  <c r="D307" i="80"/>
  <c r="D308" i="80"/>
  <c r="D309" i="80"/>
  <c r="D310" i="80"/>
  <c r="D311" i="80"/>
  <c r="D312" i="80"/>
  <c r="D313" i="80"/>
  <c r="D314" i="80"/>
  <c r="D315" i="80"/>
  <c r="D316" i="80"/>
  <c r="D317" i="80"/>
  <c r="D318" i="80"/>
  <c r="D319" i="80"/>
  <c r="D320" i="80"/>
  <c r="D321" i="80"/>
  <c r="D322" i="80"/>
  <c r="D323" i="80"/>
  <c r="D324" i="80"/>
  <c r="D325" i="80"/>
  <c r="D326" i="80"/>
  <c r="D327" i="80"/>
  <c r="D328" i="80"/>
  <c r="D329" i="80"/>
  <c r="D330" i="80"/>
  <c r="D331" i="80"/>
  <c r="D332" i="80"/>
  <c r="D333" i="80"/>
  <c r="D334" i="80"/>
  <c r="D335" i="80"/>
  <c r="D336" i="80"/>
  <c r="D337" i="80"/>
  <c r="D338" i="80"/>
  <c r="D339" i="80"/>
  <c r="D340" i="80"/>
  <c r="D341" i="80"/>
  <c r="D342" i="80"/>
  <c r="D343" i="80"/>
  <c r="D344" i="80"/>
  <c r="D345" i="80"/>
  <c r="D346" i="80"/>
  <c r="D347" i="80"/>
  <c r="D348" i="80"/>
  <c r="D349" i="80"/>
  <c r="D350" i="80"/>
  <c r="D351" i="80"/>
  <c r="D352" i="80"/>
  <c r="D353" i="80"/>
  <c r="D354" i="80"/>
  <c r="D355" i="80"/>
  <c r="D356" i="80"/>
  <c r="D357" i="80"/>
  <c r="D358" i="80"/>
  <c r="D359" i="80"/>
  <c r="D360" i="80"/>
  <c r="D361" i="80"/>
  <c r="D362" i="80"/>
  <c r="D363" i="80"/>
  <c r="D364" i="80"/>
  <c r="D365" i="80"/>
  <c r="D366" i="80"/>
  <c r="D367" i="80"/>
  <c r="D368" i="80"/>
  <c r="D369" i="80"/>
  <c r="D370" i="80"/>
  <c r="D371" i="80"/>
  <c r="D372" i="80"/>
  <c r="D373" i="80"/>
  <c r="D374" i="80"/>
  <c r="D375" i="80"/>
  <c r="D376" i="80"/>
  <c r="D377" i="80"/>
  <c r="D378" i="80"/>
  <c r="D379" i="80"/>
  <c r="D380" i="80"/>
  <c r="D381" i="80"/>
  <c r="D382" i="80"/>
  <c r="D383" i="80"/>
  <c r="D384" i="80"/>
  <c r="D385" i="80"/>
  <c r="D386" i="80"/>
  <c r="D387" i="80"/>
  <c r="D388" i="80"/>
  <c r="D389" i="80"/>
  <c r="D390" i="80"/>
  <c r="D391" i="80"/>
  <c r="D392" i="80"/>
  <c r="D393" i="80"/>
  <c r="D394" i="80"/>
  <c r="D395" i="80"/>
  <c r="D396" i="80"/>
  <c r="D397" i="80"/>
  <c r="D398" i="80"/>
  <c r="D399" i="80"/>
  <c r="D400" i="80"/>
  <c r="D401" i="80"/>
  <c r="D402" i="80"/>
  <c r="D403" i="80"/>
  <c r="D404" i="80"/>
  <c r="D405" i="80"/>
  <c r="D406" i="80"/>
  <c r="D407" i="80"/>
  <c r="D408" i="80"/>
  <c r="D409" i="80"/>
  <c r="D410" i="80"/>
  <c r="D411" i="80"/>
  <c r="D412" i="80"/>
  <c r="D413" i="80"/>
  <c r="D414" i="80"/>
  <c r="D415" i="80"/>
  <c r="D416" i="80"/>
  <c r="D417" i="80"/>
  <c r="D418" i="80"/>
  <c r="D419" i="80"/>
  <c r="D420" i="80"/>
  <c r="D421" i="80"/>
  <c r="D422" i="80"/>
  <c r="D423" i="80"/>
  <c r="D424" i="80"/>
  <c r="D425" i="80"/>
  <c r="D426" i="80"/>
  <c r="D427" i="80"/>
  <c r="D428" i="80"/>
  <c r="D429" i="80"/>
  <c r="D430" i="80"/>
  <c r="D431" i="80"/>
  <c r="D432" i="80"/>
  <c r="D433" i="80"/>
  <c r="D434" i="80"/>
  <c r="D435" i="80"/>
  <c r="D436" i="80"/>
  <c r="D437" i="80"/>
  <c r="D438" i="80"/>
  <c r="D439" i="80"/>
  <c r="D440" i="80"/>
  <c r="D441" i="80"/>
  <c r="D442" i="80"/>
  <c r="D443" i="80"/>
  <c r="D444" i="80"/>
  <c r="D445" i="80"/>
  <c r="D446" i="80"/>
  <c r="D447" i="80"/>
  <c r="D448" i="80"/>
  <c r="D449" i="80"/>
  <c r="D450" i="80"/>
  <c r="D451" i="80"/>
  <c r="D452" i="80"/>
  <c r="D453" i="80"/>
  <c r="D454" i="80"/>
  <c r="D455" i="80"/>
  <c r="D456" i="80"/>
  <c r="D457" i="80"/>
  <c r="D458" i="80"/>
  <c r="D459" i="80"/>
  <c r="D460" i="80"/>
  <c r="D461" i="80"/>
  <c r="D462" i="80"/>
  <c r="D463" i="80"/>
  <c r="D464" i="80"/>
  <c r="D465" i="80"/>
  <c r="D466" i="80"/>
  <c r="D467" i="80"/>
  <c r="D468" i="80"/>
  <c r="D469" i="80"/>
  <c r="D470" i="80"/>
  <c r="D471" i="80"/>
  <c r="D472" i="80"/>
  <c r="D473" i="80"/>
  <c r="D474" i="80"/>
  <c r="D475" i="80"/>
  <c r="D476" i="80"/>
  <c r="D477" i="80"/>
  <c r="D478" i="80"/>
  <c r="D479" i="80"/>
  <c r="D480" i="80"/>
  <c r="D481" i="80"/>
  <c r="D482" i="80"/>
  <c r="D483" i="80"/>
  <c r="D484" i="80"/>
  <c r="D485" i="80"/>
  <c r="D486" i="80"/>
  <c r="D487" i="80"/>
  <c r="D488" i="80"/>
  <c r="D489" i="80"/>
  <c r="D490" i="80"/>
  <c r="D491" i="80"/>
  <c r="D492" i="80"/>
  <c r="D493" i="80"/>
  <c r="D494" i="80"/>
  <c r="D495" i="80"/>
  <c r="D496" i="80"/>
  <c r="D497" i="80"/>
  <c r="D498" i="80"/>
  <c r="D499" i="80"/>
  <c r="D500" i="80"/>
  <c r="C1" i="80"/>
  <c r="C2" i="80"/>
  <c r="C3" i="80"/>
  <c r="C4" i="80"/>
  <c r="C5" i="80"/>
  <c r="C6" i="80"/>
  <c r="C7" i="80"/>
  <c r="C8" i="80"/>
  <c r="C9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C33" i="80"/>
  <c r="C34" i="80"/>
  <c r="C35" i="80"/>
  <c r="C36" i="80"/>
  <c r="C37" i="80"/>
  <c r="C38" i="80"/>
  <c r="C39" i="80"/>
  <c r="C40" i="80"/>
  <c r="C41" i="80"/>
  <c r="C42" i="80"/>
  <c r="C43" i="80"/>
  <c r="C44" i="80"/>
  <c r="C45" i="80"/>
  <c r="C46" i="80"/>
  <c r="C47" i="80"/>
  <c r="C48" i="80"/>
  <c r="C49" i="80"/>
  <c r="C50" i="80"/>
  <c r="C51" i="80"/>
  <c r="C52" i="80"/>
  <c r="C53" i="80"/>
  <c r="C54" i="80"/>
  <c r="C55" i="80"/>
  <c r="C56" i="80"/>
  <c r="C57" i="80"/>
  <c r="C58" i="80"/>
  <c r="C59" i="80"/>
  <c r="C60" i="80"/>
  <c r="C61" i="80"/>
  <c r="C62" i="80"/>
  <c r="C63" i="80"/>
  <c r="C64" i="80"/>
  <c r="C65" i="80"/>
  <c r="C66" i="80"/>
  <c r="C67" i="80"/>
  <c r="C68" i="80"/>
  <c r="C69" i="80"/>
  <c r="C70" i="80"/>
  <c r="C71" i="80"/>
  <c r="C72" i="80"/>
  <c r="C73" i="80"/>
  <c r="C74" i="80"/>
  <c r="C75" i="80"/>
  <c r="C76" i="80"/>
  <c r="C77" i="80"/>
  <c r="C78" i="80"/>
  <c r="C79" i="80"/>
  <c r="C80" i="80"/>
  <c r="C81" i="80"/>
  <c r="C82" i="80"/>
  <c r="C83" i="80"/>
  <c r="C84" i="80"/>
  <c r="C85" i="80"/>
  <c r="C86" i="80"/>
  <c r="C87" i="80"/>
  <c r="C88" i="80"/>
  <c r="C89" i="80"/>
  <c r="C90" i="80"/>
  <c r="C91" i="80"/>
  <c r="C92" i="80"/>
  <c r="C93" i="80"/>
  <c r="C94" i="80"/>
  <c r="C95" i="80"/>
  <c r="C96" i="80"/>
  <c r="C97" i="80"/>
  <c r="C98" i="80"/>
  <c r="C99" i="80"/>
  <c r="C100" i="80"/>
  <c r="C101" i="80"/>
  <c r="C102" i="80"/>
  <c r="C103" i="80"/>
  <c r="C104" i="80"/>
  <c r="C105" i="80"/>
  <c r="C106" i="80"/>
  <c r="C107" i="80"/>
  <c r="C108" i="80"/>
  <c r="C109" i="80"/>
  <c r="C110" i="80"/>
  <c r="C111" i="80"/>
  <c r="C112" i="80"/>
  <c r="C113" i="80"/>
  <c r="C114" i="80"/>
  <c r="C115" i="80"/>
  <c r="C116" i="80"/>
  <c r="C117" i="80"/>
  <c r="C118" i="80"/>
  <c r="C119" i="80"/>
  <c r="C120" i="80"/>
  <c r="C121" i="80"/>
  <c r="C122" i="80"/>
  <c r="C123" i="80"/>
  <c r="C124" i="80"/>
  <c r="C125" i="80"/>
  <c r="C126" i="80"/>
  <c r="C127" i="80"/>
  <c r="C128" i="80"/>
  <c r="C129" i="80"/>
  <c r="C130" i="80"/>
  <c r="C131" i="80"/>
  <c r="C132" i="80"/>
  <c r="C133" i="80"/>
  <c r="C134" i="80"/>
  <c r="C135" i="80"/>
  <c r="C136" i="80"/>
  <c r="C137" i="80"/>
  <c r="C138" i="80"/>
  <c r="C139" i="80"/>
  <c r="C140" i="80"/>
  <c r="C141" i="80"/>
  <c r="C142" i="80"/>
  <c r="C143" i="80"/>
  <c r="C144" i="80"/>
  <c r="C145" i="80"/>
  <c r="C146" i="80"/>
  <c r="C147" i="80"/>
  <c r="C148" i="80"/>
  <c r="C149" i="80"/>
  <c r="C150" i="80"/>
  <c r="C151" i="80"/>
  <c r="C152" i="80"/>
  <c r="C153" i="80"/>
  <c r="C154" i="80"/>
  <c r="C155" i="80"/>
  <c r="C156" i="80"/>
  <c r="C157" i="80"/>
  <c r="C158" i="80"/>
  <c r="C159" i="80"/>
  <c r="C160" i="80"/>
  <c r="C161" i="80"/>
  <c r="C162" i="80"/>
  <c r="C163" i="80"/>
  <c r="C164" i="80"/>
  <c r="C165" i="80"/>
  <c r="C166" i="80"/>
  <c r="C167" i="80"/>
  <c r="C168" i="80"/>
  <c r="C169" i="80"/>
  <c r="C170" i="80"/>
  <c r="C171" i="80"/>
  <c r="C172" i="80"/>
  <c r="C173" i="80"/>
  <c r="C174" i="80"/>
  <c r="C175" i="80"/>
  <c r="C176" i="80"/>
  <c r="C177" i="80"/>
  <c r="C178" i="80"/>
  <c r="C179" i="80"/>
  <c r="C180" i="80"/>
  <c r="C181" i="80"/>
  <c r="C182" i="80"/>
  <c r="C183" i="80"/>
  <c r="C184" i="80"/>
  <c r="C185" i="80"/>
  <c r="C186" i="80"/>
  <c r="C187" i="80"/>
  <c r="C188" i="80"/>
  <c r="C189" i="80"/>
  <c r="C190" i="80"/>
  <c r="C191" i="80"/>
  <c r="C192" i="80"/>
  <c r="C193" i="80"/>
  <c r="C194" i="80"/>
  <c r="C195" i="80"/>
  <c r="C196" i="80"/>
  <c r="C197" i="80"/>
  <c r="C198" i="80"/>
  <c r="C199" i="80"/>
  <c r="C200" i="80"/>
  <c r="C201" i="80"/>
  <c r="C202" i="80"/>
  <c r="C203" i="80"/>
  <c r="C204" i="80"/>
  <c r="C205" i="80"/>
  <c r="C206" i="80"/>
  <c r="C207" i="80"/>
  <c r="C208" i="80"/>
  <c r="C209" i="80"/>
  <c r="C210" i="80"/>
  <c r="C211" i="80"/>
  <c r="C212" i="80"/>
  <c r="C213" i="80"/>
  <c r="C214" i="80"/>
  <c r="C215" i="80"/>
  <c r="C216" i="80"/>
  <c r="C217" i="80"/>
  <c r="C218" i="80"/>
  <c r="C219" i="80"/>
  <c r="C220" i="80"/>
  <c r="C221" i="80"/>
  <c r="C222" i="80"/>
  <c r="C223" i="80"/>
  <c r="C224" i="80"/>
  <c r="C225" i="80"/>
  <c r="C226" i="80"/>
  <c r="C227" i="80"/>
  <c r="C228" i="80"/>
  <c r="C229" i="80"/>
  <c r="C230" i="80"/>
  <c r="C231" i="80"/>
  <c r="C232" i="80"/>
  <c r="C233" i="80"/>
  <c r="C234" i="80"/>
  <c r="C235" i="80"/>
  <c r="C236" i="80"/>
  <c r="C237" i="80"/>
  <c r="C238" i="80"/>
  <c r="C239" i="80"/>
  <c r="C240" i="80"/>
  <c r="C241" i="80"/>
  <c r="C242" i="80"/>
  <c r="C243" i="80"/>
  <c r="C244" i="80"/>
  <c r="C245" i="80"/>
  <c r="C246" i="80"/>
  <c r="C247" i="80"/>
  <c r="C248" i="80"/>
  <c r="C249" i="80"/>
  <c r="C250" i="80"/>
  <c r="C251" i="80"/>
  <c r="C252" i="80"/>
  <c r="C253" i="80"/>
  <c r="C254" i="80"/>
  <c r="C255" i="80"/>
  <c r="C256" i="80"/>
  <c r="C257" i="80"/>
  <c r="C258" i="80"/>
  <c r="C259" i="80"/>
  <c r="C260" i="80"/>
  <c r="C261" i="80"/>
  <c r="C262" i="80"/>
  <c r="C263" i="80"/>
  <c r="C264" i="80"/>
  <c r="C265" i="80"/>
  <c r="C266" i="80"/>
  <c r="C267" i="80"/>
  <c r="C268" i="80"/>
  <c r="C269" i="80"/>
  <c r="C270" i="80"/>
  <c r="C271" i="80"/>
  <c r="C272" i="80"/>
  <c r="C273" i="80"/>
  <c r="C274" i="80"/>
  <c r="C275" i="80"/>
  <c r="C276" i="80"/>
  <c r="C277" i="80"/>
  <c r="C278" i="80"/>
  <c r="C279" i="80"/>
  <c r="C280" i="80"/>
  <c r="C281" i="80"/>
  <c r="C282" i="80"/>
  <c r="C283" i="80"/>
  <c r="C284" i="80"/>
  <c r="C285" i="80"/>
  <c r="C286" i="80"/>
  <c r="C287" i="80"/>
  <c r="C288" i="80"/>
  <c r="C289" i="80"/>
  <c r="C290" i="80"/>
  <c r="C291" i="80"/>
  <c r="C292" i="80"/>
  <c r="C293" i="80"/>
  <c r="C294" i="80"/>
  <c r="C295" i="80"/>
  <c r="C296" i="80"/>
  <c r="C297" i="80"/>
  <c r="C298" i="80"/>
  <c r="C299" i="80"/>
  <c r="C300" i="80"/>
  <c r="C301" i="80"/>
  <c r="C302" i="80"/>
  <c r="C303" i="80"/>
  <c r="C304" i="80"/>
  <c r="C305" i="80"/>
  <c r="C306" i="80"/>
  <c r="C307" i="80"/>
  <c r="C308" i="80"/>
  <c r="C309" i="80"/>
  <c r="C310" i="80"/>
  <c r="C311" i="80"/>
  <c r="C312" i="80"/>
  <c r="C313" i="80"/>
  <c r="C314" i="80"/>
  <c r="C315" i="80"/>
  <c r="C316" i="80"/>
  <c r="C317" i="80"/>
  <c r="C318" i="80"/>
  <c r="C319" i="80"/>
  <c r="C320" i="80"/>
  <c r="C321" i="80"/>
  <c r="C322" i="80"/>
  <c r="C323" i="80"/>
  <c r="C324" i="80"/>
  <c r="C325" i="80"/>
  <c r="C326" i="80"/>
  <c r="C327" i="80"/>
  <c r="C328" i="80"/>
  <c r="C329" i="80"/>
  <c r="C330" i="80"/>
  <c r="C331" i="80"/>
  <c r="C332" i="80"/>
  <c r="C333" i="80"/>
  <c r="C334" i="80"/>
  <c r="C335" i="80"/>
  <c r="C336" i="80"/>
  <c r="C337" i="80"/>
  <c r="C338" i="80"/>
  <c r="C339" i="80"/>
  <c r="C340" i="80"/>
  <c r="C341" i="80"/>
  <c r="C342" i="80"/>
  <c r="C343" i="80"/>
  <c r="C344" i="80"/>
  <c r="C345" i="80"/>
  <c r="C346" i="80"/>
  <c r="C347" i="80"/>
  <c r="C348" i="80"/>
  <c r="C349" i="80"/>
  <c r="C350" i="80"/>
  <c r="C351" i="80"/>
  <c r="C352" i="80"/>
  <c r="C353" i="80"/>
  <c r="C354" i="80"/>
  <c r="C355" i="80"/>
  <c r="C356" i="80"/>
  <c r="C357" i="80"/>
  <c r="C358" i="80"/>
  <c r="C359" i="80"/>
  <c r="C360" i="80"/>
  <c r="C361" i="80"/>
  <c r="C362" i="80"/>
  <c r="C363" i="80"/>
  <c r="C364" i="80"/>
  <c r="C365" i="80"/>
  <c r="C366" i="80"/>
  <c r="C367" i="80"/>
  <c r="C368" i="80"/>
  <c r="C369" i="80"/>
  <c r="C370" i="80"/>
  <c r="C371" i="80"/>
  <c r="C372" i="80"/>
  <c r="C373" i="80"/>
  <c r="C374" i="80"/>
  <c r="C375" i="80"/>
  <c r="C376" i="80"/>
  <c r="C377" i="80"/>
  <c r="C378" i="80"/>
  <c r="C379" i="80"/>
  <c r="C380" i="80"/>
  <c r="C381" i="80"/>
  <c r="C382" i="80"/>
  <c r="C383" i="80"/>
  <c r="C384" i="80"/>
  <c r="C385" i="80"/>
  <c r="C386" i="80"/>
  <c r="C387" i="80"/>
  <c r="C388" i="80"/>
  <c r="C389" i="80"/>
  <c r="C390" i="80"/>
  <c r="C391" i="80"/>
  <c r="C392" i="80"/>
  <c r="C393" i="80"/>
  <c r="C394" i="80"/>
  <c r="C395" i="80"/>
  <c r="C396" i="80"/>
  <c r="C397" i="80"/>
  <c r="C398" i="80"/>
  <c r="C399" i="80"/>
  <c r="C400" i="80"/>
  <c r="C401" i="80"/>
  <c r="C402" i="80"/>
  <c r="C403" i="80"/>
  <c r="C404" i="80"/>
  <c r="C405" i="80"/>
  <c r="C406" i="80"/>
  <c r="C407" i="80"/>
  <c r="C408" i="80"/>
  <c r="C409" i="80"/>
  <c r="C410" i="80"/>
  <c r="C411" i="80"/>
  <c r="C412" i="80"/>
  <c r="C413" i="80"/>
  <c r="C414" i="80"/>
  <c r="C415" i="80"/>
  <c r="C416" i="80"/>
  <c r="C417" i="80"/>
  <c r="C418" i="80"/>
  <c r="C419" i="80"/>
  <c r="C420" i="80"/>
  <c r="C421" i="80"/>
  <c r="C422" i="80"/>
  <c r="C423" i="80"/>
  <c r="C424" i="80"/>
  <c r="C425" i="80"/>
  <c r="C426" i="80"/>
  <c r="C427" i="80"/>
  <c r="C428" i="80"/>
  <c r="C429" i="80"/>
  <c r="C430" i="80"/>
  <c r="C431" i="80"/>
  <c r="C432" i="80"/>
  <c r="C433" i="80"/>
  <c r="C434" i="80"/>
  <c r="C435" i="80"/>
  <c r="C436" i="80"/>
  <c r="C437" i="80"/>
  <c r="C438" i="80"/>
  <c r="C439" i="80"/>
  <c r="C440" i="80"/>
  <c r="C441" i="80"/>
  <c r="C442" i="80"/>
  <c r="C443" i="80"/>
  <c r="C444" i="80"/>
  <c r="C445" i="80"/>
  <c r="C446" i="80"/>
  <c r="C447" i="80"/>
  <c r="C448" i="80"/>
  <c r="C449" i="80"/>
  <c r="C450" i="80"/>
  <c r="C451" i="80"/>
  <c r="C452" i="80"/>
  <c r="C453" i="80"/>
  <c r="C454" i="80"/>
  <c r="C455" i="80"/>
  <c r="C456" i="80"/>
  <c r="C457" i="80"/>
  <c r="C458" i="80"/>
  <c r="C459" i="80"/>
  <c r="C460" i="80"/>
  <c r="C461" i="80"/>
  <c r="C462" i="80"/>
  <c r="C463" i="80"/>
  <c r="C464" i="80"/>
  <c r="C465" i="80"/>
  <c r="C466" i="80"/>
  <c r="C467" i="80"/>
  <c r="C468" i="80"/>
  <c r="C469" i="80"/>
  <c r="C470" i="80"/>
  <c r="C471" i="80"/>
  <c r="C472" i="80"/>
  <c r="C473" i="80"/>
  <c r="C474" i="80"/>
  <c r="C475" i="80"/>
  <c r="C476" i="80"/>
  <c r="C477" i="80"/>
  <c r="C478" i="80"/>
  <c r="C479" i="80"/>
  <c r="C480" i="80"/>
  <c r="C481" i="80"/>
  <c r="C482" i="80"/>
  <c r="C483" i="80"/>
  <c r="C484" i="80"/>
  <c r="C485" i="80"/>
  <c r="C486" i="80"/>
  <c r="C487" i="80"/>
  <c r="C488" i="80"/>
  <c r="C489" i="80"/>
  <c r="C490" i="80"/>
  <c r="C491" i="80"/>
  <c r="C492" i="80"/>
  <c r="C493" i="80"/>
  <c r="C494" i="80"/>
  <c r="C495" i="80"/>
  <c r="C496" i="80"/>
  <c r="C497" i="80"/>
  <c r="C498" i="80"/>
  <c r="C499" i="80"/>
  <c r="C500" i="80"/>
  <c r="B1" i="80"/>
  <c r="B2" i="80"/>
  <c r="B3" i="80"/>
  <c r="B4" i="80"/>
  <c r="B5" i="80"/>
  <c r="B6" i="80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59" i="80"/>
  <c r="B60" i="80"/>
  <c r="B61" i="80"/>
  <c r="B62" i="80"/>
  <c r="B63" i="80"/>
  <c r="B64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B125" i="80"/>
  <c r="B126" i="80"/>
  <c r="B127" i="80"/>
  <c r="B128" i="80"/>
  <c r="B129" i="80"/>
  <c r="B130" i="80"/>
  <c r="B131" i="80"/>
  <c r="B132" i="80"/>
  <c r="B133" i="80"/>
  <c r="B134" i="80"/>
  <c r="B135" i="80"/>
  <c r="B136" i="80"/>
  <c r="B137" i="80"/>
  <c r="B138" i="80"/>
  <c r="B139" i="80"/>
  <c r="B140" i="80"/>
  <c r="B141" i="80"/>
  <c r="B142" i="80"/>
  <c r="B143" i="80"/>
  <c r="B144" i="80"/>
  <c r="B145" i="80"/>
  <c r="B146" i="80"/>
  <c r="B147" i="80"/>
  <c r="B148" i="80"/>
  <c r="B149" i="80"/>
  <c r="B150" i="80"/>
  <c r="B151" i="80"/>
  <c r="B152" i="80"/>
  <c r="B153" i="80"/>
  <c r="B154" i="80"/>
  <c r="B155" i="80"/>
  <c r="B156" i="80"/>
  <c r="B157" i="80"/>
  <c r="B158" i="80"/>
  <c r="B159" i="80"/>
  <c r="B160" i="80"/>
  <c r="B161" i="80"/>
  <c r="B162" i="80"/>
  <c r="B163" i="80"/>
  <c r="B164" i="80"/>
  <c r="B165" i="80"/>
  <c r="B166" i="80"/>
  <c r="B167" i="80"/>
  <c r="B168" i="80"/>
  <c r="B169" i="80"/>
  <c r="B170" i="80"/>
  <c r="B171" i="80"/>
  <c r="B172" i="80"/>
  <c r="B173" i="80"/>
  <c r="B174" i="80"/>
  <c r="B175" i="80"/>
  <c r="B176" i="80"/>
  <c r="B177" i="80"/>
  <c r="B178" i="80"/>
  <c r="B179" i="80"/>
  <c r="B180" i="80"/>
  <c r="B181" i="80"/>
  <c r="B182" i="80"/>
  <c r="B183" i="80"/>
  <c r="B184" i="80"/>
  <c r="B185" i="80"/>
  <c r="B186" i="80"/>
  <c r="B187" i="80"/>
  <c r="B188" i="80"/>
  <c r="B189" i="80"/>
  <c r="B190" i="80"/>
  <c r="B191" i="80"/>
  <c r="B192" i="80"/>
  <c r="B193" i="80"/>
  <c r="B194" i="80"/>
  <c r="B195" i="80"/>
  <c r="B196" i="80"/>
  <c r="B197" i="80"/>
  <c r="B198" i="80"/>
  <c r="B199" i="80"/>
  <c r="B200" i="80"/>
  <c r="B201" i="80"/>
  <c r="B202" i="80"/>
  <c r="B203" i="80"/>
  <c r="B204" i="80"/>
  <c r="B205" i="80"/>
  <c r="B206" i="80"/>
  <c r="B207" i="80"/>
  <c r="B208" i="80"/>
  <c r="B209" i="80"/>
  <c r="B210" i="80"/>
  <c r="B211" i="80"/>
  <c r="B212" i="80"/>
  <c r="B213" i="80"/>
  <c r="B214" i="80"/>
  <c r="B215" i="80"/>
  <c r="B216" i="80"/>
  <c r="B217" i="80"/>
  <c r="B218" i="80"/>
  <c r="B219" i="80"/>
  <c r="B220" i="80"/>
  <c r="B221" i="80"/>
  <c r="B222" i="80"/>
  <c r="B223" i="80"/>
  <c r="B224" i="80"/>
  <c r="B225" i="80"/>
  <c r="B226" i="80"/>
  <c r="B227" i="80"/>
  <c r="B228" i="80"/>
  <c r="B229" i="80"/>
  <c r="B230" i="80"/>
  <c r="B231" i="80"/>
  <c r="B232" i="80"/>
  <c r="B233" i="80"/>
  <c r="B234" i="80"/>
  <c r="B235" i="80"/>
  <c r="B236" i="80"/>
  <c r="B237" i="80"/>
  <c r="B238" i="80"/>
  <c r="B239" i="80"/>
  <c r="B240" i="80"/>
  <c r="B241" i="80"/>
  <c r="B242" i="80"/>
  <c r="B243" i="80"/>
  <c r="B244" i="80"/>
  <c r="B245" i="80"/>
  <c r="B246" i="80"/>
  <c r="B247" i="80"/>
  <c r="B248" i="80"/>
  <c r="B249" i="80"/>
  <c r="B250" i="80"/>
  <c r="B251" i="80"/>
  <c r="B252" i="80"/>
  <c r="B253" i="80"/>
  <c r="B254" i="80"/>
  <c r="B255" i="80"/>
  <c r="B256" i="80"/>
  <c r="B257" i="80"/>
  <c r="B258" i="80"/>
  <c r="B259" i="80"/>
  <c r="B260" i="80"/>
  <c r="B261" i="80"/>
  <c r="B262" i="80"/>
  <c r="B263" i="80"/>
  <c r="B264" i="80"/>
  <c r="B265" i="80"/>
  <c r="B266" i="80"/>
  <c r="B267" i="80"/>
  <c r="B268" i="80"/>
  <c r="B269" i="80"/>
  <c r="B270" i="80"/>
  <c r="B271" i="80"/>
  <c r="B272" i="80"/>
  <c r="B273" i="80"/>
  <c r="B274" i="80"/>
  <c r="B275" i="80"/>
  <c r="B276" i="80"/>
  <c r="B277" i="80"/>
  <c r="B278" i="80"/>
  <c r="B279" i="80"/>
  <c r="B280" i="80"/>
  <c r="B281" i="80"/>
  <c r="B282" i="80"/>
  <c r="B283" i="80"/>
  <c r="B284" i="80"/>
  <c r="B285" i="80"/>
  <c r="B286" i="80"/>
  <c r="B287" i="80"/>
  <c r="B288" i="80"/>
  <c r="B289" i="80"/>
  <c r="B290" i="80"/>
  <c r="B291" i="80"/>
  <c r="B292" i="80"/>
  <c r="B293" i="80"/>
  <c r="B294" i="80"/>
  <c r="B295" i="80"/>
  <c r="B296" i="80"/>
  <c r="B297" i="80"/>
  <c r="B298" i="80"/>
  <c r="B299" i="80"/>
  <c r="B300" i="80"/>
  <c r="B301" i="80"/>
  <c r="B302" i="80"/>
  <c r="B303" i="80"/>
  <c r="B304" i="80"/>
  <c r="B305" i="80"/>
  <c r="B306" i="80"/>
  <c r="B307" i="80"/>
  <c r="B308" i="80"/>
  <c r="B309" i="80"/>
  <c r="B310" i="80"/>
  <c r="B311" i="80"/>
  <c r="B312" i="80"/>
  <c r="B313" i="80"/>
  <c r="B314" i="80"/>
  <c r="B315" i="80"/>
  <c r="B316" i="80"/>
  <c r="B317" i="80"/>
  <c r="B318" i="80"/>
  <c r="B319" i="80"/>
  <c r="B320" i="80"/>
  <c r="B321" i="80"/>
  <c r="B322" i="80"/>
  <c r="B323" i="80"/>
  <c r="B324" i="80"/>
  <c r="B325" i="80"/>
  <c r="B326" i="80"/>
  <c r="B327" i="80"/>
  <c r="B328" i="80"/>
  <c r="B329" i="80"/>
  <c r="B330" i="80"/>
  <c r="B331" i="80"/>
  <c r="B332" i="80"/>
  <c r="B333" i="80"/>
  <c r="B334" i="80"/>
  <c r="B335" i="80"/>
  <c r="B336" i="80"/>
  <c r="B337" i="80"/>
  <c r="B338" i="80"/>
  <c r="B339" i="80"/>
  <c r="B340" i="80"/>
  <c r="B341" i="80"/>
  <c r="B342" i="80"/>
  <c r="B343" i="80"/>
  <c r="B344" i="80"/>
  <c r="B345" i="80"/>
  <c r="B346" i="80"/>
  <c r="B347" i="80"/>
  <c r="B348" i="80"/>
  <c r="B349" i="80"/>
  <c r="B350" i="80"/>
  <c r="B351" i="80"/>
  <c r="B352" i="80"/>
  <c r="B353" i="80"/>
  <c r="B354" i="80"/>
  <c r="B355" i="80"/>
  <c r="B356" i="80"/>
  <c r="B357" i="80"/>
  <c r="B358" i="80"/>
  <c r="B359" i="80"/>
  <c r="B360" i="80"/>
  <c r="B361" i="80"/>
  <c r="B362" i="80"/>
  <c r="B363" i="80"/>
  <c r="B364" i="80"/>
  <c r="B365" i="80"/>
  <c r="B366" i="80"/>
  <c r="B367" i="80"/>
  <c r="B368" i="80"/>
  <c r="B369" i="80"/>
  <c r="B370" i="80"/>
  <c r="B371" i="80"/>
  <c r="B372" i="80"/>
  <c r="B373" i="80"/>
  <c r="B374" i="80"/>
  <c r="B375" i="80"/>
  <c r="B376" i="80"/>
  <c r="B377" i="80"/>
  <c r="B378" i="80"/>
  <c r="B379" i="80"/>
  <c r="B380" i="80"/>
  <c r="B381" i="80"/>
  <c r="B382" i="80"/>
  <c r="B383" i="80"/>
  <c r="B384" i="80"/>
  <c r="B385" i="80"/>
  <c r="B386" i="80"/>
  <c r="B387" i="80"/>
  <c r="B388" i="80"/>
  <c r="B389" i="80"/>
  <c r="B390" i="80"/>
  <c r="B391" i="80"/>
  <c r="B392" i="80"/>
  <c r="B393" i="80"/>
  <c r="B394" i="80"/>
  <c r="B395" i="80"/>
  <c r="B396" i="80"/>
  <c r="B397" i="80"/>
  <c r="B398" i="80"/>
  <c r="B399" i="80"/>
  <c r="B400" i="80"/>
  <c r="B401" i="80"/>
  <c r="B402" i="80"/>
  <c r="B403" i="80"/>
  <c r="B404" i="80"/>
  <c r="B405" i="80"/>
  <c r="B406" i="80"/>
  <c r="B407" i="80"/>
  <c r="B408" i="80"/>
  <c r="B409" i="80"/>
  <c r="B410" i="80"/>
  <c r="B411" i="80"/>
  <c r="B412" i="80"/>
  <c r="B413" i="80"/>
  <c r="B414" i="80"/>
  <c r="B415" i="80"/>
  <c r="B416" i="80"/>
  <c r="B417" i="80"/>
  <c r="B418" i="80"/>
  <c r="B419" i="80"/>
  <c r="B420" i="80"/>
  <c r="B421" i="80"/>
  <c r="B422" i="80"/>
  <c r="B423" i="80"/>
  <c r="B424" i="80"/>
  <c r="B425" i="80"/>
  <c r="B426" i="80"/>
  <c r="B427" i="80"/>
  <c r="B428" i="80"/>
  <c r="B429" i="80"/>
  <c r="B430" i="80"/>
  <c r="B431" i="80"/>
  <c r="B432" i="80"/>
  <c r="B433" i="80"/>
  <c r="B434" i="80"/>
  <c r="B435" i="80"/>
  <c r="B436" i="80"/>
  <c r="B437" i="80"/>
  <c r="B438" i="80"/>
  <c r="B439" i="80"/>
  <c r="B440" i="80"/>
  <c r="B441" i="80"/>
  <c r="B442" i="80"/>
  <c r="B443" i="80"/>
  <c r="B444" i="80"/>
  <c r="B445" i="80"/>
  <c r="B446" i="80"/>
  <c r="B447" i="80"/>
  <c r="B448" i="80"/>
  <c r="B449" i="80"/>
  <c r="B450" i="80"/>
  <c r="B451" i="80"/>
  <c r="B452" i="80"/>
  <c r="B453" i="80"/>
  <c r="B454" i="80"/>
  <c r="B455" i="80"/>
  <c r="B456" i="80"/>
  <c r="B457" i="80"/>
  <c r="B458" i="80"/>
  <c r="B459" i="80"/>
  <c r="B460" i="80"/>
  <c r="B461" i="80"/>
  <c r="B462" i="80"/>
  <c r="B463" i="80"/>
  <c r="B464" i="80"/>
  <c r="B465" i="80"/>
  <c r="B466" i="80"/>
  <c r="B467" i="80"/>
  <c r="B468" i="80"/>
  <c r="B469" i="80"/>
  <c r="B470" i="80"/>
  <c r="B471" i="80"/>
  <c r="B472" i="80"/>
  <c r="B473" i="80"/>
  <c r="B474" i="80"/>
  <c r="B475" i="80"/>
  <c r="B476" i="80"/>
  <c r="B477" i="80"/>
  <c r="B478" i="80"/>
  <c r="B479" i="80"/>
  <c r="B480" i="80"/>
  <c r="B481" i="80"/>
  <c r="B482" i="80"/>
  <c r="B483" i="80"/>
  <c r="B484" i="80"/>
  <c r="B485" i="80"/>
  <c r="B486" i="80"/>
  <c r="B487" i="80"/>
  <c r="B488" i="80"/>
  <c r="B489" i="80"/>
  <c r="B490" i="80"/>
  <c r="B491" i="80"/>
  <c r="B492" i="80"/>
  <c r="B493" i="80"/>
  <c r="B494" i="80"/>
  <c r="B495" i="80"/>
  <c r="B496" i="80"/>
  <c r="B497" i="80"/>
  <c r="B498" i="80"/>
  <c r="B499" i="80"/>
  <c r="B500" i="80"/>
  <c r="L12" i="57"/>
  <c r="M12" i="57"/>
  <c r="N12" i="57"/>
  <c r="O12" i="57"/>
  <c r="P12" i="57"/>
  <c r="Q12" i="57"/>
  <c r="R12" i="57"/>
  <c r="S12" i="57"/>
  <c r="T12" i="57"/>
  <c r="U12" i="57"/>
  <c r="V12" i="57"/>
  <c r="W12" i="57"/>
  <c r="L13" i="57"/>
  <c r="M13" i="57"/>
  <c r="N13" i="57"/>
  <c r="O13" i="57"/>
  <c r="P13" i="57"/>
  <c r="Q13" i="57"/>
  <c r="R13" i="57"/>
  <c r="S13" i="57"/>
  <c r="T13" i="57"/>
  <c r="U13" i="57"/>
  <c r="V13" i="57"/>
  <c r="W13" i="57"/>
  <c r="C15" i="57" a="1"/>
  <c r="C15" i="57" s="1"/>
  <c r="C2" i="57" a="1"/>
  <c r="K13" i="57" s="1"/>
  <c r="J12" i="57" l="1"/>
  <c r="K12" i="57"/>
  <c r="I13" i="57"/>
  <c r="J13" i="57"/>
  <c r="I12" i="57"/>
  <c r="H12" i="57"/>
  <c r="H13" i="57"/>
  <c r="F12" i="57"/>
  <c r="D12" i="57"/>
  <c r="F13" i="57"/>
  <c r="E12" i="57"/>
  <c r="E13" i="57"/>
  <c r="D13" i="57"/>
  <c r="G13" i="57"/>
  <c r="G12" i="57"/>
  <c r="C2" i="57"/>
  <c r="C12" i="57" l="1"/>
  <c r="C13" i="57"/>
  <c r="V4" i="27" a="1"/>
  <c r="V4" i="27" s="1"/>
  <c r="U4" i="23" a="1"/>
  <c r="U4" i="23" s="1"/>
  <c r="V4" i="23" a="1"/>
  <c r="V4" i="23" s="1"/>
  <c r="Q3" i="19" l="1" a="1"/>
  <c r="Q3" i="19" s="1"/>
  <c r="A2" i="8" a="1"/>
  <c r="A2" i="8" s="1"/>
  <c r="A2" i="22" a="1"/>
  <c r="A2" i="22" s="1"/>
  <c r="A3" i="33" a="1"/>
  <c r="A3" i="33" s="1"/>
  <c r="E4" i="25" a="1"/>
  <c r="E4" i="25" l="1"/>
  <c r="B43" i="25" l="1"/>
  <c r="E5" i="25" a="1"/>
  <c r="E14" i="25" a="1"/>
  <c r="F4" i="25" a="1"/>
  <c r="E14" i="25" l="1"/>
  <c r="F4" i="25"/>
  <c r="E5" i="25"/>
  <c r="F5" i="25" a="1"/>
  <c r="F5" i="25" l="1"/>
  <c r="G5" i="25" s="1"/>
  <c r="E26" i="25" a="1"/>
  <c r="E37" i="25" a="1"/>
  <c r="E28" i="25" a="1"/>
  <c r="F25" i="25" a="1"/>
  <c r="F33" i="25" a="1"/>
  <c r="E15" i="25" a="1"/>
  <c r="E38" i="25" a="1"/>
  <c r="F31" i="25" a="1"/>
  <c r="F37" i="25" a="1"/>
  <c r="E17" i="25" a="1"/>
  <c r="F23" i="25" a="1"/>
  <c r="E23" i="25" a="1"/>
  <c r="E18" i="25" a="1"/>
  <c r="E42" i="25" a="1"/>
  <c r="E34" i="25" a="1"/>
  <c r="F28" i="25" a="1"/>
  <c r="F16" i="25" a="1"/>
  <c r="F11" i="25" a="1"/>
  <c r="F17" i="25" a="1"/>
  <c r="E7" i="25" a="1"/>
  <c r="E22" i="25" a="1"/>
  <c r="E31" i="25" a="1"/>
  <c r="F42" i="25" a="1"/>
  <c r="F12" i="25" a="1"/>
  <c r="E10" i="25" a="1"/>
  <c r="F6" i="25" a="1"/>
  <c r="E12" i="25" a="1"/>
  <c r="F29" i="25" a="1"/>
  <c r="F9" i="25" a="1"/>
  <c r="E24" i="25" a="1"/>
  <c r="F20" i="25" a="1"/>
  <c r="F7" i="25" a="1"/>
  <c r="E39" i="25" a="1"/>
  <c r="F35" i="25" a="1"/>
  <c r="E36" i="25" a="1"/>
  <c r="F16" i="25" l="1"/>
  <c r="F33" i="25"/>
  <c r="F28" i="25"/>
  <c r="F20" i="25"/>
  <c r="F12" i="25"/>
  <c r="F31" i="25"/>
  <c r="F23" i="25"/>
  <c r="F7" i="25"/>
  <c r="F25" i="25"/>
  <c r="F35" i="25"/>
  <c r="F11" i="25"/>
  <c r="F37" i="25"/>
  <c r="F6" i="25"/>
  <c r="F29" i="25"/>
  <c r="F42" i="25"/>
  <c r="F17" i="25"/>
  <c r="F9" i="25"/>
  <c r="E24" i="25"/>
  <c r="E12" i="25"/>
  <c r="E36" i="25"/>
  <c r="E28" i="25"/>
  <c r="E39" i="25"/>
  <c r="E31" i="25"/>
  <c r="E23" i="25"/>
  <c r="E15" i="25"/>
  <c r="E7" i="25"/>
  <c r="E42" i="25"/>
  <c r="E34" i="25"/>
  <c r="E26" i="25"/>
  <c r="E18" i="25"/>
  <c r="E10" i="25"/>
  <c r="E38" i="25"/>
  <c r="E22" i="25"/>
  <c r="E37" i="25"/>
  <c r="E17" i="25"/>
  <c r="I3" i="19" a="1"/>
  <c r="E3" i="19" a="1"/>
  <c r="E3" i="19" s="1"/>
  <c r="D1" i="8" s="1" a="1"/>
  <c r="D31" i="21"/>
  <c r="D2" i="21"/>
  <c r="D27" i="21"/>
  <c r="D20" i="21"/>
  <c r="D28" i="21"/>
  <c r="D15" i="21"/>
  <c r="D9" i="21"/>
  <c r="D16" i="21"/>
  <c r="D10" i="21"/>
  <c r="D3" i="21"/>
  <c r="D32" i="21"/>
  <c r="D33" i="21"/>
  <c r="D21" i="21"/>
  <c r="D34" i="21"/>
  <c r="D4" i="21"/>
  <c r="D35" i="21"/>
  <c r="D11" i="21"/>
  <c r="D17" i="21"/>
  <c r="D29" i="21"/>
  <c r="D30" i="21"/>
  <c r="D12" i="21"/>
  <c r="D5" i="21"/>
  <c r="D6" i="21"/>
  <c r="D22" i="21"/>
  <c r="D23" i="21"/>
  <c r="D18" i="21"/>
  <c r="D7" i="21"/>
  <c r="D36" i="21"/>
  <c r="D13" i="21"/>
  <c r="D24" i="21"/>
  <c r="D19" i="21"/>
  <c r="D25" i="21"/>
  <c r="D37" i="21"/>
  <c r="D26" i="21"/>
  <c r="D38" i="21"/>
  <c r="D8" i="21"/>
  <c r="D14" i="21"/>
  <c r="H2" i="18" a="1"/>
  <c r="H2" i="18"/>
  <c r="F39" i="25" a="1"/>
  <c r="E6" i="8" l="1"/>
  <c r="E3" i="8"/>
  <c r="E7" i="8"/>
  <c r="E4" i="8"/>
  <c r="E5" i="8"/>
  <c r="M3" i="19" a="1"/>
  <c r="M3" i="19" s="1"/>
  <c r="W43" i="8"/>
  <c r="W47" i="8"/>
  <c r="W51" i="8"/>
  <c r="W50" i="8"/>
  <c r="W44" i="8"/>
  <c r="W48" i="8"/>
  <c r="W46" i="8"/>
  <c r="W41" i="8"/>
  <c r="W45" i="8"/>
  <c r="W49" i="8"/>
  <c r="W42" i="8"/>
  <c r="D1" i="22" a="1"/>
  <c r="I3" i="19"/>
  <c r="V44" i="8"/>
  <c r="V45" i="8"/>
  <c r="V46" i="8"/>
  <c r="V49" i="8"/>
  <c r="V42" i="8"/>
  <c r="V51" i="8"/>
  <c r="V47" i="8"/>
  <c r="V48" i="8"/>
  <c r="V41" i="8"/>
  <c r="V50" i="8"/>
  <c r="V43" i="8"/>
  <c r="U43" i="8"/>
  <c r="T46" i="8"/>
  <c r="U51" i="8"/>
  <c r="T50" i="8"/>
  <c r="U42" i="8"/>
  <c r="U45" i="8"/>
  <c r="T43" i="8"/>
  <c r="T41" i="8"/>
  <c r="U46" i="8"/>
  <c r="T49" i="8"/>
  <c r="T42" i="8"/>
  <c r="U50" i="8"/>
  <c r="T48" i="8"/>
  <c r="T51" i="8"/>
  <c r="U41" i="8"/>
  <c r="T44" i="8"/>
  <c r="U49" i="8"/>
  <c r="U47" i="8"/>
  <c r="T45" i="8"/>
  <c r="U48" i="8"/>
  <c r="U44" i="8"/>
  <c r="T47" i="8"/>
  <c r="R41" i="8"/>
  <c r="R45" i="8"/>
  <c r="R49" i="8"/>
  <c r="R44" i="8"/>
  <c r="S41" i="8"/>
  <c r="Q44" i="8"/>
  <c r="S45" i="8"/>
  <c r="Q48" i="8"/>
  <c r="S49" i="8"/>
  <c r="R48" i="8"/>
  <c r="Q43" i="8"/>
  <c r="S44" i="8"/>
  <c r="Q47" i="8"/>
  <c r="S48" i="8"/>
  <c r="Q51" i="8"/>
  <c r="R43" i="8"/>
  <c r="R47" i="8"/>
  <c r="R51" i="8"/>
  <c r="Q42" i="8"/>
  <c r="S43" i="8"/>
  <c r="Q46" i="8"/>
  <c r="S47" i="8"/>
  <c r="Q50" i="8"/>
  <c r="S51" i="8"/>
  <c r="R42" i="8"/>
  <c r="R46" i="8"/>
  <c r="R50" i="8"/>
  <c r="Q41" i="8"/>
  <c r="S42" i="8"/>
  <c r="Q45" i="8"/>
  <c r="S46" i="8"/>
  <c r="Q49" i="8"/>
  <c r="S50" i="8"/>
  <c r="O41" i="8"/>
  <c r="O42" i="8"/>
  <c r="O43" i="8"/>
  <c r="O44" i="8"/>
  <c r="O46" i="8"/>
  <c r="O47" i="8"/>
  <c r="O48" i="8"/>
  <c r="O49" i="8"/>
  <c r="P41" i="8"/>
  <c r="P42" i="8"/>
  <c r="P43" i="8"/>
  <c r="P45" i="8"/>
  <c r="P46" i="8"/>
  <c r="P47" i="8"/>
  <c r="P48" i="8"/>
  <c r="P50" i="8"/>
  <c r="O45" i="8"/>
  <c r="O50" i="8"/>
  <c r="O51" i="8"/>
  <c r="P44" i="8"/>
  <c r="P49" i="8"/>
  <c r="P51" i="8"/>
  <c r="N44" i="8"/>
  <c r="N48" i="8"/>
  <c r="N42" i="8"/>
  <c r="N43" i="8"/>
  <c r="N45" i="8"/>
  <c r="N46" i="8"/>
  <c r="N49" i="8"/>
  <c r="N51" i="8"/>
  <c r="N47" i="8"/>
  <c r="N41" i="8"/>
  <c r="N50" i="8"/>
  <c r="M46" i="8"/>
  <c r="M47" i="8"/>
  <c r="M48" i="8"/>
  <c r="M42" i="8"/>
  <c r="M50" i="8"/>
  <c r="M43" i="8"/>
  <c r="M51" i="8"/>
  <c r="M44" i="8"/>
  <c r="M41" i="8"/>
  <c r="M45" i="8"/>
  <c r="M49" i="8"/>
  <c r="L44" i="8"/>
  <c r="L45" i="8"/>
  <c r="L50" i="8"/>
  <c r="L51" i="8"/>
  <c r="L46" i="8"/>
  <c r="L49" i="8"/>
  <c r="L41" i="8"/>
  <c r="L47" i="8"/>
  <c r="L48" i="8"/>
  <c r="L42" i="8"/>
  <c r="L43" i="8"/>
  <c r="K47" i="8"/>
  <c r="K50" i="8"/>
  <c r="K42" i="8"/>
  <c r="K43" i="8"/>
  <c r="K48" i="8"/>
  <c r="K44" i="8"/>
  <c r="K49" i="8"/>
  <c r="K41" i="8"/>
  <c r="K46" i="8"/>
  <c r="K51" i="8"/>
  <c r="K45" i="8"/>
  <c r="J44" i="8"/>
  <c r="J51" i="8"/>
  <c r="J48" i="8"/>
  <c r="J45" i="8"/>
  <c r="J42" i="8"/>
  <c r="J49" i="8"/>
  <c r="J46" i="8"/>
  <c r="J43" i="8"/>
  <c r="J47" i="8"/>
  <c r="J41" i="8"/>
  <c r="J50" i="8"/>
  <c r="I48" i="8"/>
  <c r="I51" i="8"/>
  <c r="I44" i="8"/>
  <c r="I47" i="8"/>
  <c r="I43" i="8"/>
  <c r="I46" i="8"/>
  <c r="I49" i="8"/>
  <c r="I42" i="8"/>
  <c r="I41" i="8"/>
  <c r="I45" i="8"/>
  <c r="I50" i="8"/>
  <c r="H42" i="8"/>
  <c r="H44" i="8"/>
  <c r="H46" i="8"/>
  <c r="H48" i="8"/>
  <c r="H50" i="8"/>
  <c r="H41" i="8"/>
  <c r="H49" i="8"/>
  <c r="H51" i="8"/>
  <c r="H43" i="8"/>
  <c r="H45" i="8"/>
  <c r="H47" i="8"/>
  <c r="G41" i="8"/>
  <c r="F44" i="8"/>
  <c r="G51" i="8"/>
  <c r="F43" i="8"/>
  <c r="G43" i="8"/>
  <c r="G45" i="8"/>
  <c r="G44" i="8"/>
  <c r="F47" i="8"/>
  <c r="F49" i="8"/>
  <c r="F42" i="8"/>
  <c r="G42" i="8"/>
  <c r="F45" i="8"/>
  <c r="G47" i="8"/>
  <c r="F50" i="8"/>
  <c r="F41" i="8"/>
  <c r="G48" i="8"/>
  <c r="F51" i="8"/>
  <c r="G50" i="8"/>
  <c r="F46" i="8"/>
  <c r="G46" i="8"/>
  <c r="G49" i="8"/>
  <c r="F48" i="8"/>
  <c r="A2" i="32" a="1"/>
  <c r="A2" i="30" a="1"/>
  <c r="F39" i="25"/>
  <c r="G39" i="25" s="1"/>
  <c r="E46" i="8"/>
  <c r="E41" i="8"/>
  <c r="E49" i="8"/>
  <c r="E44" i="8"/>
  <c r="E47" i="8"/>
  <c r="E42" i="8"/>
  <c r="E50" i="8"/>
  <c r="E45" i="8"/>
  <c r="E48" i="8"/>
  <c r="E43" i="8"/>
  <c r="E51" i="8"/>
  <c r="G17" i="25"/>
  <c r="G12" i="25"/>
  <c r="G7" i="25"/>
  <c r="G23" i="25"/>
  <c r="G31" i="25"/>
  <c r="G28" i="25"/>
  <c r="G37" i="25"/>
  <c r="G42" i="25"/>
  <c r="D1" i="8"/>
  <c r="F32" i="25" a="1"/>
  <c r="F36" i="25" a="1"/>
  <c r="F40" i="25" a="1"/>
  <c r="E27" i="25" a="1"/>
  <c r="E49" i="22" l="1"/>
  <c r="E3" i="22"/>
  <c r="E4" i="22"/>
  <c r="E5" i="22"/>
  <c r="E6" i="22"/>
  <c r="E7" i="22"/>
  <c r="A3" i="34" a="1"/>
  <c r="A3" i="34" s="1"/>
  <c r="D3" i="8"/>
  <c r="D7" i="8"/>
  <c r="D4" i="8"/>
  <c r="D5" i="8"/>
  <c r="D6" i="8"/>
  <c r="E42" i="22"/>
  <c r="V57" i="22"/>
  <c r="V63" i="22"/>
  <c r="S55" i="22"/>
  <c r="S61" i="22"/>
  <c r="S54" i="22"/>
  <c r="R61" i="22"/>
  <c r="P57" i="22"/>
  <c r="Q55" i="22"/>
  <c r="R63" i="22"/>
  <c r="O52" i="22"/>
  <c r="N54" i="22"/>
  <c r="N63" i="22"/>
  <c r="N49" i="22"/>
  <c r="N58" i="22"/>
  <c r="N59" i="22"/>
  <c r="N44" i="22"/>
  <c r="L55" i="22"/>
  <c r="L54" i="22"/>
  <c r="L42" i="22"/>
  <c r="L43" i="22"/>
  <c r="L49" i="22"/>
  <c r="L53" i="22"/>
  <c r="M43" i="22"/>
  <c r="M49" i="22"/>
  <c r="L48" i="22"/>
  <c r="M46" i="22"/>
  <c r="K44" i="22"/>
  <c r="K60" i="22"/>
  <c r="J54" i="22"/>
  <c r="J53" i="22"/>
  <c r="J55" i="22"/>
  <c r="J43" i="22"/>
  <c r="J59" i="22"/>
  <c r="J42" i="22"/>
  <c r="J44" i="22"/>
  <c r="K43" i="22"/>
  <c r="K59" i="22"/>
  <c r="K61" i="22"/>
  <c r="J60" i="22"/>
  <c r="I52" i="22"/>
  <c r="I48" i="22"/>
  <c r="H45" i="22"/>
  <c r="H42" i="22"/>
  <c r="H58" i="22"/>
  <c r="I56" i="22"/>
  <c r="H61" i="22"/>
  <c r="I42" i="22"/>
  <c r="I58" i="22"/>
  <c r="I49" i="22"/>
  <c r="H55" i="22"/>
  <c r="I54" i="22"/>
  <c r="G43" i="22"/>
  <c r="G51" i="22"/>
  <c r="G58" i="22"/>
  <c r="G45" i="22"/>
  <c r="G54" i="22"/>
  <c r="F60" i="22"/>
  <c r="F51" i="22"/>
  <c r="F44" i="22"/>
  <c r="F56" i="22"/>
  <c r="F43" i="22"/>
  <c r="F42" i="22"/>
  <c r="E51" i="22"/>
  <c r="E62" i="22"/>
  <c r="E44" i="22"/>
  <c r="E55" i="22"/>
  <c r="E58" i="22"/>
  <c r="H49" i="22"/>
  <c r="H46" i="22"/>
  <c r="G53" i="22"/>
  <c r="G47" i="22"/>
  <c r="F63" i="22"/>
  <c r="F55" i="22"/>
  <c r="E45" i="22"/>
  <c r="E52" i="22"/>
  <c r="E56" i="22"/>
  <c r="F45" i="22"/>
  <c r="F47" i="22"/>
  <c r="V50" i="22"/>
  <c r="U47" i="22"/>
  <c r="T42" i="22"/>
  <c r="T52" i="22"/>
  <c r="Q58" i="22"/>
  <c r="P48" i="22"/>
  <c r="P45" i="22"/>
  <c r="Q47" i="22"/>
  <c r="P52" i="22"/>
  <c r="N53" i="22"/>
  <c r="N62" i="22"/>
  <c r="O48" i="22"/>
  <c r="N42" i="22"/>
  <c r="O42" i="22"/>
  <c r="O43" i="22"/>
  <c r="N60" i="22"/>
  <c r="M60" i="22"/>
  <c r="L41" i="22"/>
  <c r="L50" i="22"/>
  <c r="L59" i="22"/>
  <c r="M42" i="22"/>
  <c r="M58" i="22"/>
  <c r="L62" i="22"/>
  <c r="L60" i="22"/>
  <c r="M53" i="22"/>
  <c r="M56" i="22"/>
  <c r="M41" i="22"/>
  <c r="J49" i="22"/>
  <c r="K41" i="22"/>
  <c r="K57" i="22"/>
  <c r="K45" i="22"/>
  <c r="K46" i="22"/>
  <c r="K62" i="22"/>
  <c r="J58" i="22"/>
  <c r="K55" i="22"/>
  <c r="J48" i="22"/>
  <c r="J45" i="22"/>
  <c r="K50" i="22"/>
  <c r="H43" i="22"/>
  <c r="H59" i="22"/>
  <c r="H63" i="22"/>
  <c r="I62" i="22"/>
  <c r="I43" i="22"/>
  <c r="I59" i="22"/>
  <c r="I45" i="22"/>
  <c r="H56" i="22"/>
  <c r="G46" i="22"/>
  <c r="G41" i="22"/>
  <c r="F61" i="22"/>
  <c r="F46" i="22"/>
  <c r="E59" i="22"/>
  <c r="E53" i="22"/>
  <c r="F50" i="22"/>
  <c r="F62" i="22"/>
  <c r="E60" i="22"/>
  <c r="T47" i="22"/>
  <c r="U57" i="22"/>
  <c r="U52" i="22"/>
  <c r="S43" i="22"/>
  <c r="R44" i="22"/>
  <c r="P44" i="22"/>
  <c r="Q46" i="22"/>
  <c r="P60" i="22"/>
  <c r="O45" i="22"/>
  <c r="N47" i="22"/>
  <c r="O47" i="22"/>
  <c r="O49" i="22"/>
  <c r="O50" i="22"/>
  <c r="O59" i="22"/>
  <c r="M44" i="22"/>
  <c r="L63" i="22"/>
  <c r="L44" i="22"/>
  <c r="M55" i="22"/>
  <c r="M51" i="22"/>
  <c r="L45" i="22"/>
  <c r="L61" i="22"/>
  <c r="M54" i="22"/>
  <c r="L56" i="22"/>
  <c r="L46" i="22"/>
  <c r="L52" i="22"/>
  <c r="K52" i="22"/>
  <c r="J46" i="22"/>
  <c r="J62" i="22"/>
  <c r="K53" i="22"/>
  <c r="J52" i="22"/>
  <c r="J51" i="22"/>
  <c r="K48" i="22"/>
  <c r="J47" i="22"/>
  <c r="K51" i="22"/>
  <c r="J61" i="22"/>
  <c r="J63" i="22"/>
  <c r="I44" i="22"/>
  <c r="I60" i="22"/>
  <c r="H54" i="22"/>
  <c r="H44" i="22"/>
  <c r="H50" i="22"/>
  <c r="I55" i="22"/>
  <c r="I53" i="22"/>
  <c r="I50" i="22"/>
  <c r="I41" i="22"/>
  <c r="I57" i="22"/>
  <c r="H62" i="22"/>
  <c r="I61" i="22"/>
  <c r="G48" i="22"/>
  <c r="G55" i="22"/>
  <c r="G62" i="22"/>
  <c r="G42" i="22"/>
  <c r="G49" i="22"/>
  <c r="G59" i="22"/>
  <c r="F48" i="22"/>
  <c r="E46" i="22"/>
  <c r="V58" i="22"/>
  <c r="T63" i="22"/>
  <c r="R45" i="22"/>
  <c r="R60" i="22"/>
  <c r="Q56" i="22"/>
  <c r="Q53" i="22"/>
  <c r="R55" i="22"/>
  <c r="N45" i="22"/>
  <c r="N46" i="22"/>
  <c r="O54" i="22"/>
  <c r="N56" i="22"/>
  <c r="N50" i="22"/>
  <c r="O58" i="22"/>
  <c r="N43" i="22"/>
  <c r="L47" i="22"/>
  <c r="M57" i="22"/>
  <c r="L58" i="22"/>
  <c r="M50" i="22"/>
  <c r="L51" i="22"/>
  <c r="M62" i="22"/>
  <c r="M45" i="22"/>
  <c r="M61" i="22"/>
  <c r="M59" i="22"/>
  <c r="J41" i="22"/>
  <c r="J57" i="22"/>
  <c r="K49" i="22"/>
  <c r="K42" i="22"/>
  <c r="K63" i="22"/>
  <c r="K54" i="22"/>
  <c r="K56" i="22"/>
  <c r="K58" i="22"/>
  <c r="J56" i="22"/>
  <c r="J50" i="22"/>
  <c r="K47" i="22"/>
  <c r="H51" i="22"/>
  <c r="I63" i="22"/>
  <c r="H60" i="22"/>
  <c r="I51" i="22"/>
  <c r="H47" i="22"/>
  <c r="H53" i="22"/>
  <c r="H41" i="22"/>
  <c r="H57" i="22"/>
  <c r="H48" i="22"/>
  <c r="I46" i="22"/>
  <c r="G50" i="22"/>
  <c r="G57" i="22"/>
  <c r="G63" i="22"/>
  <c r="G44" i="22"/>
  <c r="G52" i="22"/>
  <c r="G61" i="22"/>
  <c r="F58" i="22"/>
  <c r="F41" i="22"/>
  <c r="F53" i="22"/>
  <c r="F59" i="22"/>
  <c r="E43" i="22"/>
  <c r="E54" i="22"/>
  <c r="E57" i="22"/>
  <c r="E47" i="22"/>
  <c r="E50" i="22"/>
  <c r="D1" i="22"/>
  <c r="E48" i="22"/>
  <c r="I47" i="22"/>
  <c r="H52" i="22"/>
  <c r="G60" i="22"/>
  <c r="G56" i="22"/>
  <c r="F54" i="22"/>
  <c r="F52" i="22"/>
  <c r="E41" i="22"/>
  <c r="E63" i="22"/>
  <c r="F57" i="22"/>
  <c r="F49" i="22"/>
  <c r="E61" i="22"/>
  <c r="N57" i="22"/>
  <c r="O56" i="22"/>
  <c r="O55" i="22"/>
  <c r="N55" i="22"/>
  <c r="O61" i="22"/>
  <c r="N61" i="22"/>
  <c r="R62" i="22"/>
  <c r="Q62" i="22"/>
  <c r="R56" i="22"/>
  <c r="Q61" i="22"/>
  <c r="R47" i="22"/>
  <c r="P46" i="22"/>
  <c r="P47" i="22"/>
  <c r="P56" i="22"/>
  <c r="Q41" i="22"/>
  <c r="P41" i="22"/>
  <c r="R52" i="22"/>
  <c r="P42" i="22"/>
  <c r="Q42" i="22"/>
  <c r="R53" i="22"/>
  <c r="P43" i="22"/>
  <c r="U44" i="22"/>
  <c r="S48" i="22"/>
  <c r="S41" i="22"/>
  <c r="T54" i="22"/>
  <c r="S56" i="22"/>
  <c r="U60" i="22"/>
  <c r="U63" i="22"/>
  <c r="U53" i="22"/>
  <c r="U41" i="22"/>
  <c r="U56" i="22"/>
  <c r="T55" i="22"/>
  <c r="V60" i="22"/>
  <c r="V48" i="22"/>
  <c r="V54" i="22"/>
  <c r="V45" i="22"/>
  <c r="R57" i="22"/>
  <c r="R41" i="22"/>
  <c r="R50" i="22"/>
  <c r="R59" i="22"/>
  <c r="Q51" i="22"/>
  <c r="R46" i="22"/>
  <c r="Q52" i="22"/>
  <c r="S51" i="22"/>
  <c r="T60" i="22"/>
  <c r="S62" i="22"/>
  <c r="S44" i="22"/>
  <c r="U62" i="22"/>
  <c r="T50" i="22"/>
  <c r="S42" i="22"/>
  <c r="U54" i="22"/>
  <c r="U61" i="22"/>
  <c r="U49" i="22"/>
  <c r="S63" i="22"/>
  <c r="U42" i="22"/>
  <c r="T51" i="22"/>
  <c r="V59" i="22"/>
  <c r="V42" i="22"/>
  <c r="V52" i="22"/>
  <c r="Q63" i="22"/>
  <c r="Q48" i="22"/>
  <c r="Q54" i="22"/>
  <c r="R48" i="22"/>
  <c r="P55" i="22"/>
  <c r="Q57" i="22"/>
  <c r="R42" i="22"/>
  <c r="Q50" i="22"/>
  <c r="P58" i="22"/>
  <c r="Q43" i="22"/>
  <c r="R51" i="22"/>
  <c r="P59" i="22"/>
  <c r="Q44" i="22"/>
  <c r="U58" i="22"/>
  <c r="T44" i="22"/>
  <c r="S52" i="22"/>
  <c r="S59" i="22"/>
  <c r="T62" i="22"/>
  <c r="S60" i="22"/>
  <c r="S53" i="22"/>
  <c r="T56" i="22"/>
  <c r="U55" i="22"/>
  <c r="U45" i="22"/>
  <c r="T59" i="22"/>
  <c r="T43" i="22"/>
  <c r="V47" i="22"/>
  <c r="V61" i="22"/>
  <c r="U40" i="22"/>
  <c r="M63" i="22"/>
  <c r="M47" i="22"/>
  <c r="L57" i="22"/>
  <c r="M48" i="22"/>
  <c r="M52" i="22"/>
  <c r="N52" i="22"/>
  <c r="O51" i="22"/>
  <c r="N51" i="22"/>
  <c r="O57" i="22"/>
  <c r="O41" i="22"/>
  <c r="O63" i="22"/>
  <c r="N41" i="22"/>
  <c r="N48" i="22"/>
  <c r="O62" i="22"/>
  <c r="O46" i="22"/>
  <c r="O53" i="22"/>
  <c r="O60" i="22"/>
  <c r="O44" i="22"/>
  <c r="Q45" i="22"/>
  <c r="P53" i="22"/>
  <c r="P54" i="22"/>
  <c r="P61" i="22"/>
  <c r="P62" i="22"/>
  <c r="P63" i="22"/>
  <c r="R49" i="22"/>
  <c r="R58" i="22"/>
  <c r="Q49" i="22"/>
  <c r="R43" i="22"/>
  <c r="Q59" i="22"/>
  <c r="P50" i="22"/>
  <c r="R54" i="22"/>
  <c r="P49" i="22"/>
  <c r="Q60" i="22"/>
  <c r="P51" i="22"/>
  <c r="S57" i="22"/>
  <c r="U50" i="22"/>
  <c r="T48" i="22"/>
  <c r="S58" i="22"/>
  <c r="S46" i="22"/>
  <c r="S49" i="22"/>
  <c r="U46" i="22"/>
  <c r="T46" i="22"/>
  <c r="S50" i="22"/>
  <c r="S45" i="22"/>
  <c r="U59" i="22"/>
  <c r="U51" i="22"/>
  <c r="U43" i="22"/>
  <c r="S47" i="22"/>
  <c r="U48" i="22"/>
  <c r="T61" i="22"/>
  <c r="T53" i="22"/>
  <c r="T45" i="22"/>
  <c r="V44" i="22"/>
  <c r="V49" i="22"/>
  <c r="V55" i="22"/>
  <c r="V46" i="22"/>
  <c r="W42" i="22"/>
  <c r="W46" i="22"/>
  <c r="W50" i="22"/>
  <c r="W54" i="22"/>
  <c r="W58" i="22"/>
  <c r="W62" i="22"/>
  <c r="W49" i="22"/>
  <c r="W43" i="22"/>
  <c r="W47" i="22"/>
  <c r="W51" i="22"/>
  <c r="W55" i="22"/>
  <c r="W59" i="22"/>
  <c r="W63" i="22"/>
  <c r="W41" i="22"/>
  <c r="W53" i="22"/>
  <c r="W57" i="22"/>
  <c r="W44" i="22"/>
  <c r="W48" i="22"/>
  <c r="W52" i="22"/>
  <c r="W56" i="22"/>
  <c r="W60" i="22"/>
  <c r="W45" i="22"/>
  <c r="W61" i="22"/>
  <c r="T58" i="22"/>
  <c r="T57" i="22"/>
  <c r="T49" i="22"/>
  <c r="T41" i="22"/>
  <c r="V51" i="22"/>
  <c r="V56" i="22"/>
  <c r="V41" i="22"/>
  <c r="V62" i="22"/>
  <c r="V43" i="22"/>
  <c r="V53" i="22"/>
  <c r="F32" i="25"/>
  <c r="F36" i="25"/>
  <c r="G36" i="25" s="1"/>
  <c r="E27" i="25"/>
  <c r="J3" i="30"/>
  <c r="J4" i="30"/>
  <c r="J9" i="30"/>
  <c r="C3" i="30"/>
  <c r="D3" i="30"/>
  <c r="E3" i="30"/>
  <c r="F3" i="30"/>
  <c r="G3" i="30"/>
  <c r="H3" i="30"/>
  <c r="I3" i="30"/>
  <c r="K3" i="30"/>
  <c r="L3" i="30"/>
  <c r="M3" i="30"/>
  <c r="N3" i="30"/>
  <c r="O3" i="30"/>
  <c r="P3" i="30"/>
  <c r="Q3" i="30"/>
  <c r="R3" i="30"/>
  <c r="S3" i="30"/>
  <c r="T3" i="30"/>
  <c r="U3" i="30"/>
  <c r="C4" i="30"/>
  <c r="D4" i="30"/>
  <c r="E4" i="30"/>
  <c r="F4" i="30"/>
  <c r="G4" i="30"/>
  <c r="H4" i="30"/>
  <c r="I4" i="30"/>
  <c r="K4" i="30"/>
  <c r="L4" i="30"/>
  <c r="M4" i="30"/>
  <c r="N4" i="30"/>
  <c r="O4" i="30"/>
  <c r="P4" i="30"/>
  <c r="Q4" i="30"/>
  <c r="R4" i="30"/>
  <c r="S4" i="30"/>
  <c r="T4" i="30"/>
  <c r="U4" i="30"/>
  <c r="C5" i="30"/>
  <c r="D5" i="30"/>
  <c r="E5" i="30"/>
  <c r="F5" i="30"/>
  <c r="G5" i="30"/>
  <c r="H5" i="30"/>
  <c r="I5" i="30"/>
  <c r="J5" i="30"/>
  <c r="K5" i="30"/>
  <c r="L5" i="30"/>
  <c r="M5" i="30"/>
  <c r="N5" i="30"/>
  <c r="O5" i="30"/>
  <c r="P5" i="30"/>
  <c r="Q5" i="30"/>
  <c r="R5" i="30"/>
  <c r="S5" i="30"/>
  <c r="T5" i="30"/>
  <c r="U5" i="30"/>
  <c r="C6" i="30"/>
  <c r="D6" i="30"/>
  <c r="E6" i="30"/>
  <c r="F6" i="30"/>
  <c r="G6" i="30"/>
  <c r="H6" i="30"/>
  <c r="I6" i="30"/>
  <c r="J6" i="30"/>
  <c r="K6" i="30"/>
  <c r="L6" i="30"/>
  <c r="M6" i="30"/>
  <c r="N6" i="30"/>
  <c r="O6" i="30"/>
  <c r="P6" i="30"/>
  <c r="Q6" i="30"/>
  <c r="R6" i="30"/>
  <c r="S6" i="30"/>
  <c r="T6" i="30"/>
  <c r="U6" i="30"/>
  <c r="C7" i="30"/>
  <c r="D7" i="30"/>
  <c r="E7" i="30"/>
  <c r="F7" i="30"/>
  <c r="G7" i="30"/>
  <c r="H7" i="30"/>
  <c r="I7" i="30"/>
  <c r="J7" i="30"/>
  <c r="K7" i="30"/>
  <c r="L7" i="30"/>
  <c r="M7" i="30"/>
  <c r="N7" i="30"/>
  <c r="O7" i="30"/>
  <c r="P7" i="30"/>
  <c r="Q7" i="30"/>
  <c r="R7" i="30"/>
  <c r="S7" i="30"/>
  <c r="T7" i="30"/>
  <c r="U7" i="30"/>
  <c r="C8" i="30"/>
  <c r="D8" i="30"/>
  <c r="E8" i="30"/>
  <c r="F8" i="30"/>
  <c r="G8" i="30"/>
  <c r="H8" i="30"/>
  <c r="I8" i="30"/>
  <c r="J8" i="30"/>
  <c r="K8" i="30"/>
  <c r="L8" i="30"/>
  <c r="M8" i="30"/>
  <c r="N8" i="30"/>
  <c r="O8" i="30"/>
  <c r="P8" i="30"/>
  <c r="Q8" i="30"/>
  <c r="R8" i="30"/>
  <c r="S8" i="30"/>
  <c r="T8" i="30"/>
  <c r="U8" i="30"/>
  <c r="C9" i="30"/>
  <c r="D9" i="30"/>
  <c r="E9" i="30"/>
  <c r="F9" i="30"/>
  <c r="G9" i="30"/>
  <c r="H9" i="30"/>
  <c r="I9" i="30"/>
  <c r="K9" i="30"/>
  <c r="L9" i="30"/>
  <c r="M9" i="30"/>
  <c r="N9" i="30"/>
  <c r="O9" i="30"/>
  <c r="P9" i="30"/>
  <c r="Q9" i="30"/>
  <c r="R9" i="30"/>
  <c r="S9" i="30"/>
  <c r="T9" i="30"/>
  <c r="U9" i="30"/>
  <c r="C10" i="30"/>
  <c r="D10" i="30"/>
  <c r="E10" i="30"/>
  <c r="F10" i="30"/>
  <c r="G10" i="30"/>
  <c r="H10" i="30"/>
  <c r="I10" i="30"/>
  <c r="J10" i="30"/>
  <c r="K10" i="30"/>
  <c r="L10" i="30"/>
  <c r="M10" i="30"/>
  <c r="N10" i="30"/>
  <c r="O10" i="30"/>
  <c r="P10" i="30"/>
  <c r="Q10" i="30"/>
  <c r="R10" i="30"/>
  <c r="S10" i="30"/>
  <c r="T10" i="30"/>
  <c r="U10" i="30"/>
  <c r="C11" i="30"/>
  <c r="D11" i="30"/>
  <c r="E11" i="30"/>
  <c r="F11" i="30"/>
  <c r="G11" i="30"/>
  <c r="H11" i="30"/>
  <c r="I11" i="30"/>
  <c r="J11" i="30"/>
  <c r="K11" i="30"/>
  <c r="L11" i="30"/>
  <c r="M11" i="30"/>
  <c r="N11" i="30"/>
  <c r="O11" i="30"/>
  <c r="P11" i="30"/>
  <c r="Q11" i="30"/>
  <c r="R11" i="30"/>
  <c r="S11" i="30"/>
  <c r="T11" i="30"/>
  <c r="U11" i="30"/>
  <c r="C12" i="30"/>
  <c r="D12" i="30"/>
  <c r="E12" i="30"/>
  <c r="F12" i="30"/>
  <c r="G12" i="30"/>
  <c r="H12" i="30"/>
  <c r="I12" i="30"/>
  <c r="J12" i="30"/>
  <c r="K12" i="30"/>
  <c r="L12" i="30"/>
  <c r="M12" i="30"/>
  <c r="N12" i="30"/>
  <c r="O12" i="30"/>
  <c r="P12" i="30"/>
  <c r="Q12" i="30"/>
  <c r="R12" i="30"/>
  <c r="S12" i="30"/>
  <c r="T12" i="30"/>
  <c r="U12" i="30"/>
  <c r="C13" i="30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S13" i="30"/>
  <c r="T13" i="30"/>
  <c r="U13" i="30"/>
  <c r="C14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S14" i="30"/>
  <c r="T14" i="30"/>
  <c r="U14" i="30"/>
  <c r="C15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S15" i="30"/>
  <c r="T15" i="30"/>
  <c r="U15" i="30"/>
  <c r="C16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S16" i="30"/>
  <c r="T16" i="30"/>
  <c r="U16" i="30"/>
  <c r="C17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S17" i="30"/>
  <c r="T17" i="30"/>
  <c r="U17" i="30"/>
  <c r="C18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S18" i="30"/>
  <c r="T18" i="30"/>
  <c r="U18" i="30"/>
  <c r="C19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S19" i="30"/>
  <c r="T19" i="30"/>
  <c r="U19" i="30"/>
  <c r="C20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S20" i="30"/>
  <c r="T20" i="30"/>
  <c r="U20" i="30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A2" i="30"/>
  <c r="A2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U18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C16" i="32"/>
  <c r="B16" i="32"/>
  <c r="U15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C15" i="32"/>
  <c r="B15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C14" i="32"/>
  <c r="B14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C13" i="32"/>
  <c r="B13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C12" i="32"/>
  <c r="B12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C11" i="32"/>
  <c r="B11" i="32"/>
  <c r="U10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C10" i="32"/>
  <c r="B10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C9" i="32"/>
  <c r="B9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C8" i="32"/>
  <c r="B8" i="32"/>
  <c r="U7" i="32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C7" i="32"/>
  <c r="B7" i="32"/>
  <c r="U6" i="32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C6" i="32"/>
  <c r="B6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C5" i="32"/>
  <c r="B5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C4" i="32"/>
  <c r="B4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B3" i="32"/>
  <c r="F40" i="25"/>
  <c r="A3" i="27" a="1"/>
  <c r="D41" i="8"/>
  <c r="D49" i="8"/>
  <c r="D44" i="8"/>
  <c r="D47" i="8"/>
  <c r="D42" i="8"/>
  <c r="D50" i="8"/>
  <c r="D45" i="8"/>
  <c r="D48" i="8"/>
  <c r="D43" i="8"/>
  <c r="D51" i="8"/>
  <c r="D46" i="8"/>
  <c r="E41" i="25" a="1"/>
  <c r="F24" i="25" a="1"/>
  <c r="E30" i="25" a="1"/>
  <c r="E40" i="25" a="1"/>
  <c r="F10" i="25" a="1"/>
  <c r="F38" i="25" a="1"/>
  <c r="F22" i="25" a="1"/>
  <c r="F13" i="25" a="1"/>
  <c r="F18" i="25" a="1"/>
  <c r="F19" i="25" a="1"/>
  <c r="A3" i="27" l="1"/>
  <c r="B2" i="34" a="1"/>
  <c r="B2" i="34" s="1"/>
  <c r="D5" i="22"/>
  <c r="D3" i="22"/>
  <c r="D4" i="22"/>
  <c r="W10" i="32"/>
  <c r="W16" i="32"/>
  <c r="W4" i="32"/>
  <c r="W16" i="30"/>
  <c r="W19" i="30"/>
  <c r="W13" i="30"/>
  <c r="W7" i="32"/>
  <c r="W13" i="32"/>
  <c r="W19" i="32"/>
  <c r="D63" i="22"/>
  <c r="D47" i="22"/>
  <c r="D61" i="22"/>
  <c r="D46" i="22"/>
  <c r="D56" i="22"/>
  <c r="D41" i="22"/>
  <c r="A3" i="23" a="1"/>
  <c r="D45" i="22"/>
  <c r="D52" i="22"/>
  <c r="D51" i="22"/>
  <c r="D50" i="22"/>
  <c r="D57" i="22"/>
  <c r="D43" i="22"/>
  <c r="D53" i="22"/>
  <c r="D42" i="22"/>
  <c r="D60" i="22"/>
  <c r="D49" i="22"/>
  <c r="D62" i="22"/>
  <c r="D59" i="22"/>
  <c r="D48" i="22"/>
  <c r="D58" i="22"/>
  <c r="D55" i="22"/>
  <c r="D44" i="22"/>
  <c r="D54" i="22"/>
  <c r="U40" i="8"/>
  <c r="P40" i="8"/>
  <c r="L40" i="8"/>
  <c r="I40" i="8"/>
  <c r="F40" i="8"/>
  <c r="W40" i="8"/>
  <c r="R40" i="8"/>
  <c r="N40" i="8"/>
  <c r="M40" i="8"/>
  <c r="E40" i="8"/>
  <c r="V40" i="8"/>
  <c r="K40" i="8"/>
  <c r="J40" i="8"/>
  <c r="G40" i="8"/>
  <c r="T40" i="8"/>
  <c r="Q40" i="8"/>
  <c r="S40" i="8"/>
  <c r="O40" i="8"/>
  <c r="H40" i="8"/>
  <c r="K40" i="22"/>
  <c r="O40" i="22"/>
  <c r="L40" i="22"/>
  <c r="M40" i="22"/>
  <c r="I40" i="22"/>
  <c r="N40" i="22"/>
  <c r="E40" i="22"/>
  <c r="F40" i="22"/>
  <c r="J40" i="22"/>
  <c r="S40" i="22"/>
  <c r="Q40" i="22"/>
  <c r="H40" i="22"/>
  <c r="G40" i="22"/>
  <c r="R40" i="22"/>
  <c r="D40" i="22"/>
  <c r="V40" i="22"/>
  <c r="P40" i="22"/>
  <c r="W40" i="22"/>
  <c r="D40" i="8"/>
  <c r="T40" i="22"/>
  <c r="O22" i="22"/>
  <c r="P34" i="22"/>
  <c r="F34" i="22"/>
  <c r="Q34" i="22"/>
  <c r="R34" i="22"/>
  <c r="D22" i="22"/>
  <c r="M22" i="22"/>
  <c r="V7" i="22"/>
  <c r="R11" i="22"/>
  <c r="D8" i="22"/>
  <c r="Q11" i="22"/>
  <c r="P20" i="22"/>
  <c r="S18" i="22"/>
  <c r="G4" i="22"/>
  <c r="D9" i="22"/>
  <c r="O21" i="22"/>
  <c r="R18" i="22"/>
  <c r="D18" i="22"/>
  <c r="Q9" i="22"/>
  <c r="N13" i="22"/>
  <c r="D14" i="22"/>
  <c r="D20" i="22"/>
  <c r="D6" i="22"/>
  <c r="U21" i="22"/>
  <c r="L20" i="22"/>
  <c r="Q19" i="8"/>
  <c r="R20" i="22"/>
  <c r="O6" i="22"/>
  <c r="H6" i="22"/>
  <c r="D15" i="22"/>
  <c r="D13" i="22"/>
  <c r="D7" i="22"/>
  <c r="J19" i="22"/>
  <c r="P19" i="22"/>
  <c r="O18" i="22"/>
  <c r="T14" i="22"/>
  <c r="V18" i="22"/>
  <c r="T9" i="22"/>
  <c r="D16" i="22"/>
  <c r="D17" i="22"/>
  <c r="D12" i="22"/>
  <c r="Q20" i="22"/>
  <c r="J22" i="22"/>
  <c r="S20" i="22"/>
  <c r="V17" i="22"/>
  <c r="Q18" i="22"/>
  <c r="G8" i="22"/>
  <c r="N4" i="22"/>
  <c r="P4" i="22"/>
  <c r="T7" i="22"/>
  <c r="H17" i="22"/>
  <c r="R5" i="22"/>
  <c r="L9" i="22"/>
  <c r="N17" i="22"/>
  <c r="P22" i="22"/>
  <c r="R15" i="22"/>
  <c r="F23" i="22"/>
  <c r="O23" i="22"/>
  <c r="H21" i="22"/>
  <c r="M19" i="22"/>
  <c r="V21" i="22"/>
  <c r="H22" i="22"/>
  <c r="Q19" i="22"/>
  <c r="Q14" i="22"/>
  <c r="K22" i="22"/>
  <c r="K15" i="22"/>
  <c r="G9" i="22"/>
  <c r="E19" i="22"/>
  <c r="I14" i="22"/>
  <c r="G6" i="22"/>
  <c r="R9" i="22"/>
  <c r="G16" i="22"/>
  <c r="G15" i="22"/>
  <c r="J5" i="22"/>
  <c r="V6" i="22"/>
  <c r="E14" i="22"/>
  <c r="H23" i="22"/>
  <c r="Q23" i="22"/>
  <c r="P7" i="22"/>
  <c r="K13" i="22"/>
  <c r="N18" i="22"/>
  <c r="S23" i="22"/>
  <c r="J12" i="22"/>
  <c r="O16" i="22"/>
  <c r="H24" i="22"/>
  <c r="D24" i="22"/>
  <c r="L18" i="22"/>
  <c r="K24" i="22"/>
  <c r="F24" i="22"/>
  <c r="S24" i="22"/>
  <c r="S17" i="22"/>
  <c r="H11" i="22"/>
  <c r="K19" i="22"/>
  <c r="V3" i="22"/>
  <c r="T24" i="22"/>
  <c r="M12" i="22"/>
  <c r="F3" i="22"/>
  <c r="F19" i="22"/>
  <c r="I7" i="22"/>
  <c r="P13" i="22"/>
  <c r="U17" i="22"/>
  <c r="I8" i="22"/>
  <c r="N6" i="22"/>
  <c r="N3" i="22"/>
  <c r="E18" i="22"/>
  <c r="I16" i="22"/>
  <c r="H20" i="22"/>
  <c r="G23" i="22"/>
  <c r="V23" i="22"/>
  <c r="T13" i="22"/>
  <c r="N15" i="22"/>
  <c r="U18" i="22"/>
  <c r="R21" i="22"/>
  <c r="M23" i="22"/>
  <c r="S16" i="22"/>
  <c r="G20" i="22"/>
  <c r="R24" i="22"/>
  <c r="F18" i="22"/>
  <c r="F20" i="22"/>
  <c r="G22" i="22"/>
  <c r="R25" i="22"/>
  <c r="D11" i="22"/>
  <c r="D19" i="22"/>
  <c r="D21" i="22"/>
  <c r="D23" i="22"/>
  <c r="H25" i="22"/>
  <c r="S25" i="22"/>
  <c r="P25" i="22"/>
  <c r="L14" i="22"/>
  <c r="R6" i="22"/>
  <c r="V12" i="22"/>
  <c r="P15" i="22"/>
  <c r="Q24" i="22"/>
  <c r="D25" i="22"/>
  <c r="J25" i="22"/>
  <c r="R12" i="22"/>
  <c r="H13" i="22"/>
  <c r="I22" i="22"/>
  <c r="M7" i="22"/>
  <c r="Q25" i="22"/>
  <c r="U6" i="22"/>
  <c r="Q17" i="22"/>
  <c r="O5" i="22"/>
  <c r="V16" i="22"/>
  <c r="H8" i="22"/>
  <c r="S8" i="22"/>
  <c r="I20" i="22"/>
  <c r="R13" i="22"/>
  <c r="K4" i="22"/>
  <c r="V4" i="22"/>
  <c r="G25" i="22"/>
  <c r="H7" i="22"/>
  <c r="I12" i="22"/>
  <c r="J15" i="22"/>
  <c r="Q21" i="22"/>
  <c r="F7" i="22"/>
  <c r="K5" i="22"/>
  <c r="S3" i="22"/>
  <c r="T8" i="22"/>
  <c r="Q12" i="22"/>
  <c r="M13" i="22"/>
  <c r="P16" i="22"/>
  <c r="I19" i="22"/>
  <c r="U22" i="22"/>
  <c r="V26" i="22"/>
  <c r="L24" i="22"/>
  <c r="O12" i="22"/>
  <c r="F14" i="22"/>
  <c r="J16" i="22"/>
  <c r="F16" i="22"/>
  <c r="T20" i="22"/>
  <c r="P21" i="22"/>
  <c r="O24" i="22"/>
  <c r="M18" i="22"/>
  <c r="L21" i="22"/>
  <c r="L23" i="22"/>
  <c r="O25" i="22"/>
  <c r="H18" i="22"/>
  <c r="O19" i="22"/>
  <c r="K21" i="22"/>
  <c r="J23" i="22"/>
  <c r="V25" i="22"/>
  <c r="M26" i="22"/>
  <c r="G26" i="22"/>
  <c r="D26" i="22"/>
  <c r="N26" i="22"/>
  <c r="U26" i="22"/>
  <c r="L26" i="22"/>
  <c r="O26" i="22"/>
  <c r="R26" i="22"/>
  <c r="E26" i="22"/>
  <c r="F26" i="22"/>
  <c r="P26" i="22"/>
  <c r="I3" i="22"/>
  <c r="F12" i="22"/>
  <c r="I25" i="22"/>
  <c r="M11" i="22"/>
  <c r="Q4" i="22"/>
  <c r="M24" i="22"/>
  <c r="F13" i="22"/>
  <c r="K3" i="22"/>
  <c r="I21" i="22"/>
  <c r="V24" i="22"/>
  <c r="F17" i="22"/>
  <c r="G11" i="22"/>
  <c r="P8" i="22"/>
  <c r="U3" i="22"/>
  <c r="S6" i="22"/>
  <c r="I26" i="22"/>
  <c r="N7" i="22"/>
  <c r="O9" i="22"/>
  <c r="E13" i="22"/>
  <c r="K17" i="22"/>
  <c r="O20" i="22"/>
  <c r="J26" i="22"/>
  <c r="N11" i="22"/>
  <c r="F27" i="22"/>
  <c r="G27" i="22"/>
  <c r="R27" i="22"/>
  <c r="D27" i="22"/>
  <c r="S27" i="22"/>
  <c r="V27" i="22"/>
  <c r="K27" i="22"/>
  <c r="E16" i="22"/>
  <c r="I11" i="22"/>
  <c r="O27" i="22"/>
  <c r="Q27" i="22"/>
  <c r="I27" i="22"/>
  <c r="U27" i="22"/>
  <c r="Q8" i="22"/>
  <c r="P18" i="22"/>
  <c r="Q3" i="22"/>
  <c r="U24" i="22"/>
  <c r="E21" i="22"/>
  <c r="I4" i="22"/>
  <c r="I23" i="22"/>
  <c r="H14" i="22"/>
  <c r="N9" i="22"/>
  <c r="T3" i="22"/>
  <c r="Q15" i="22"/>
  <c r="T27" i="22"/>
  <c r="F22" i="22"/>
  <c r="R17" i="22"/>
  <c r="O11" i="22"/>
  <c r="V9" i="22"/>
  <c r="M3" i="22"/>
  <c r="F6" i="22"/>
  <c r="L7" i="22"/>
  <c r="V20" i="22"/>
  <c r="S5" i="22"/>
  <c r="U7" i="22"/>
  <c r="Q6" i="22"/>
  <c r="L12" i="22"/>
  <c r="S13" i="22"/>
  <c r="V15" i="22"/>
  <c r="U19" i="22"/>
  <c r="S22" i="22"/>
  <c r="N27" i="22"/>
  <c r="T12" i="22"/>
  <c r="L5" i="22"/>
  <c r="K7" i="22"/>
  <c r="O7" i="22"/>
  <c r="O8" i="22"/>
  <c r="U12" i="22"/>
  <c r="E27" i="22"/>
  <c r="M14" i="22"/>
  <c r="K16" i="22"/>
  <c r="S19" i="22"/>
  <c r="J21" i="22"/>
  <c r="U23" i="22"/>
  <c r="T26" i="22"/>
  <c r="L27" i="22"/>
  <c r="F25" i="22"/>
  <c r="T23" i="22"/>
  <c r="S28" i="22"/>
  <c r="Q28" i="22"/>
  <c r="G28" i="22"/>
  <c r="H28" i="22"/>
  <c r="K28" i="22"/>
  <c r="F28" i="22"/>
  <c r="M28" i="22"/>
  <c r="U28" i="22"/>
  <c r="V28" i="22"/>
  <c r="D28" i="22"/>
  <c r="E28" i="22"/>
  <c r="O28" i="22"/>
  <c r="D30" i="8"/>
  <c r="O29" i="8"/>
  <c r="G13" i="22"/>
  <c r="R7" i="22"/>
  <c r="G17" i="22"/>
  <c r="L6" i="22"/>
  <c r="P28" i="22"/>
  <c r="T18" i="22"/>
  <c r="U11" i="22"/>
  <c r="R8" i="22"/>
  <c r="R3" i="22"/>
  <c r="L28" i="22"/>
  <c r="Q22" i="22"/>
  <c r="O15" i="22"/>
  <c r="G12" i="22"/>
  <c r="H5" i="22"/>
  <c r="U4" i="22"/>
  <c r="H19" i="22"/>
  <c r="H3" i="22"/>
  <c r="K26" i="22"/>
  <c r="N23" i="22"/>
  <c r="J18" i="22"/>
  <c r="P14" i="22"/>
  <c r="E22" i="22"/>
  <c r="K11" i="22"/>
  <c r="E8" i="22"/>
  <c r="M5" i="22"/>
  <c r="S7" i="22"/>
  <c r="O4" i="22"/>
  <c r="V8" i="22"/>
  <c r="G24" i="22"/>
  <c r="T5" i="22"/>
  <c r="G3" i="22"/>
  <c r="G7" i="22"/>
  <c r="L8" i="22"/>
  <c r="J11" i="22"/>
  <c r="E23" i="22"/>
  <c r="V14" i="22"/>
  <c r="Q16" i="22"/>
  <c r="I18" i="22"/>
  <c r="T21" i="22"/>
  <c r="P23" i="22"/>
  <c r="N28" i="22"/>
  <c r="N29" i="22"/>
  <c r="F29" i="22"/>
  <c r="S29" i="22"/>
  <c r="U29" i="22"/>
  <c r="M29" i="22"/>
  <c r="G29" i="22"/>
  <c r="R29" i="22"/>
  <c r="Q29" i="22"/>
  <c r="E29" i="22"/>
  <c r="L22" i="22"/>
  <c r="P29" i="22"/>
  <c r="H29" i="22"/>
  <c r="O29" i="22"/>
  <c r="D29" i="22"/>
  <c r="K29" i="22"/>
  <c r="T29" i="22"/>
  <c r="U15" i="22"/>
  <c r="L4" i="22"/>
  <c r="I28" i="22"/>
  <c r="O13" i="22"/>
  <c r="T6" i="22"/>
  <c r="F15" i="22"/>
  <c r="U25" i="22"/>
  <c r="K20" i="22"/>
  <c r="N14" i="22"/>
  <c r="L11" i="22"/>
  <c r="G5" i="22"/>
  <c r="I5" i="22"/>
  <c r="N25" i="22"/>
  <c r="S21" i="22"/>
  <c r="J17" i="22"/>
  <c r="E17" i="22"/>
  <c r="S11" i="22"/>
  <c r="L3" i="22"/>
  <c r="Q5" i="22"/>
  <c r="H26" i="22"/>
  <c r="U14" i="22"/>
  <c r="I29" i="22"/>
  <c r="T28" i="22"/>
  <c r="K25" i="22"/>
  <c r="K23" i="22"/>
  <c r="T19" i="22"/>
  <c r="S15" i="22"/>
  <c r="U13" i="22"/>
  <c r="U30" i="22"/>
  <c r="K30" i="22"/>
  <c r="J30" i="22"/>
  <c r="F30" i="22"/>
  <c r="D30" i="22"/>
  <c r="P30" i="22"/>
  <c r="N30" i="22"/>
  <c r="L30" i="22"/>
  <c r="T30" i="22"/>
  <c r="G30" i="22"/>
  <c r="M30" i="22"/>
  <c r="H30" i="22"/>
  <c r="Q30" i="22"/>
  <c r="R30" i="22"/>
  <c r="N16" i="22"/>
  <c r="K8" i="22"/>
  <c r="M27" i="22"/>
  <c r="M25" i="22"/>
  <c r="M15" i="22"/>
  <c r="J8" i="22"/>
  <c r="T4" i="22"/>
  <c r="H9" i="22"/>
  <c r="J27" i="22"/>
  <c r="V22" i="22"/>
  <c r="O17" i="22"/>
  <c r="K14" i="22"/>
  <c r="N12" i="22"/>
  <c r="U8" i="22"/>
  <c r="H4" i="22"/>
  <c r="F4" i="22"/>
  <c r="J6" i="22"/>
  <c r="V30" i="22"/>
  <c r="N24" i="22"/>
  <c r="N22" i="22"/>
  <c r="R19" i="22"/>
  <c r="L15" i="22"/>
  <c r="J13" i="22"/>
  <c r="S12" i="22"/>
  <c r="M8" i="22"/>
  <c r="F31" i="22"/>
  <c r="J31" i="22"/>
  <c r="M31" i="22"/>
  <c r="K31" i="22"/>
  <c r="H31" i="22"/>
  <c r="T31" i="22"/>
  <c r="R31" i="22"/>
  <c r="D31" i="22"/>
  <c r="L31" i="22"/>
  <c r="N31" i="22"/>
  <c r="O31" i="22"/>
  <c r="G31" i="22"/>
  <c r="V31" i="22"/>
  <c r="U31" i="22"/>
  <c r="P31" i="22"/>
  <c r="S31" i="22"/>
  <c r="T33" i="8"/>
  <c r="U29" i="8"/>
  <c r="D9" i="8"/>
  <c r="D20" i="8"/>
  <c r="M21" i="8"/>
  <c r="U23" i="8"/>
  <c r="T28" i="8"/>
  <c r="P31" i="8"/>
  <c r="M16" i="8"/>
  <c r="S19" i="8"/>
  <c r="N20" i="8"/>
  <c r="D21" i="8"/>
  <c r="D26" i="8"/>
  <c r="G18" i="22"/>
  <c r="F11" i="22"/>
  <c r="V5" i="22"/>
  <c r="P17" i="22"/>
  <c r="I30" i="22"/>
  <c r="G19" i="22"/>
  <c r="H15" i="22"/>
  <c r="P11" i="22"/>
  <c r="P5" i="22"/>
  <c r="J3" i="22"/>
  <c r="L13" i="22"/>
  <c r="Q31" i="22"/>
  <c r="P27" i="22"/>
  <c r="R23" i="22"/>
  <c r="M20" i="22"/>
  <c r="L16" i="22"/>
  <c r="Q13" i="22"/>
  <c r="K12" i="22"/>
  <c r="F9" i="22"/>
  <c r="S4" i="22"/>
  <c r="M4" i="22"/>
  <c r="R22" i="22"/>
  <c r="F32" i="22"/>
  <c r="R28" i="22"/>
  <c r="S26" i="22"/>
  <c r="J24" i="22"/>
  <c r="J20" i="22"/>
  <c r="L19" i="22"/>
  <c r="T16" i="22"/>
  <c r="S14" i="22"/>
  <c r="E25" i="22"/>
  <c r="E12" i="22"/>
  <c r="J9" i="22"/>
  <c r="J4" i="22"/>
  <c r="R4" i="22"/>
  <c r="O32" i="22"/>
  <c r="H32" i="22"/>
  <c r="T32" i="22"/>
  <c r="M32" i="22"/>
  <c r="K32" i="22"/>
  <c r="D32" i="22"/>
  <c r="P32" i="22"/>
  <c r="G32" i="22"/>
  <c r="J32" i="22"/>
  <c r="V32" i="22"/>
  <c r="N32" i="22"/>
  <c r="I32" i="22"/>
  <c r="L32" i="22"/>
  <c r="R32" i="22"/>
  <c r="E32" i="22"/>
  <c r="S32" i="22"/>
  <c r="Q32" i="22"/>
  <c r="N19" i="22"/>
  <c r="J14" i="22"/>
  <c r="S9" i="22"/>
  <c r="G21" i="22"/>
  <c r="I6" i="22"/>
  <c r="J28" i="22"/>
  <c r="F21" i="22"/>
  <c r="R16" i="22"/>
  <c r="I13" i="22"/>
  <c r="U9" i="22"/>
  <c r="T17" i="22"/>
  <c r="K9" i="22"/>
  <c r="U32" i="22"/>
  <c r="J29" i="22"/>
  <c r="L25" i="22"/>
  <c r="P24" i="22"/>
  <c r="M21" i="22"/>
  <c r="K18" i="22"/>
  <c r="T15" i="22"/>
  <c r="V13" i="22"/>
  <c r="E31" i="22"/>
  <c r="E11" i="22"/>
  <c r="P33" i="22"/>
  <c r="D33" i="22"/>
  <c r="N33" i="22"/>
  <c r="L33" i="22"/>
  <c r="E33" i="22"/>
  <c r="J33" i="22"/>
  <c r="Q33" i="22"/>
  <c r="K33" i="22"/>
  <c r="T33" i="22"/>
  <c r="F33" i="22"/>
  <c r="O33" i="22"/>
  <c r="H33" i="22"/>
  <c r="V33" i="22"/>
  <c r="G33" i="22"/>
  <c r="I33" i="22"/>
  <c r="R33" i="22"/>
  <c r="R10" i="8"/>
  <c r="F8" i="8"/>
  <c r="Q8" i="8"/>
  <c r="I10" i="8"/>
  <c r="V17" i="8"/>
  <c r="O10" i="8"/>
  <c r="G16" i="8"/>
  <c r="O22" i="8"/>
  <c r="O5" i="8"/>
  <c r="K14" i="8"/>
  <c r="F14" i="8"/>
  <c r="S3" i="8"/>
  <c r="I9" i="8"/>
  <c r="H24" i="8"/>
  <c r="M20" i="8"/>
  <c r="J29" i="8"/>
  <c r="M25" i="8"/>
  <c r="O30" i="8"/>
  <c r="O26" i="8"/>
  <c r="Q33" i="8"/>
  <c r="Q30" i="8"/>
  <c r="P26" i="8"/>
  <c r="P34" i="8"/>
  <c r="R32" i="8"/>
  <c r="T29" i="8"/>
  <c r="V26" i="8"/>
  <c r="S34" i="8"/>
  <c r="J32" i="8"/>
  <c r="M34" i="8"/>
  <c r="R31" i="8"/>
  <c r="Q28" i="8"/>
  <c r="M23" i="8"/>
  <c r="I20" i="8"/>
  <c r="N18" i="8"/>
  <c r="I15" i="8"/>
  <c r="H19" i="8"/>
  <c r="N33" i="8"/>
  <c r="S30" i="8"/>
  <c r="U33" i="8"/>
  <c r="U28" i="8"/>
  <c r="I33" i="8"/>
  <c r="L13" i="8"/>
  <c r="U15" i="8"/>
  <c r="I16" i="8"/>
  <c r="S17" i="8"/>
  <c r="I24" i="8"/>
  <c r="L25" i="8"/>
  <c r="J31" i="8"/>
  <c r="V16" i="8"/>
  <c r="L20" i="8"/>
  <c r="V22" i="8"/>
  <c r="V28" i="8"/>
  <c r="I29" i="8"/>
  <c r="K31" i="8"/>
  <c r="S32" i="8"/>
  <c r="J33" i="8"/>
  <c r="R16" i="8"/>
  <c r="T18" i="8"/>
  <c r="K21" i="8"/>
  <c r="Q22" i="8"/>
  <c r="N24" i="8"/>
  <c r="N25" i="8"/>
  <c r="K26" i="8"/>
  <c r="N27" i="8"/>
  <c r="M30" i="8"/>
  <c r="N31" i="8"/>
  <c r="O32" i="8"/>
  <c r="L34" i="8"/>
  <c r="D27" i="8"/>
  <c r="D19" i="8"/>
  <c r="D14" i="8"/>
  <c r="D17" i="8"/>
  <c r="D12" i="8"/>
  <c r="K3" i="8"/>
  <c r="F31" i="8"/>
  <c r="F3" i="8"/>
  <c r="I4" i="8"/>
  <c r="S11" i="8"/>
  <c r="V3" i="8"/>
  <c r="G24" i="8"/>
  <c r="H16" i="8"/>
  <c r="P9" i="8"/>
  <c r="O19" i="8"/>
  <c r="F19" i="8"/>
  <c r="S5" i="8"/>
  <c r="M9" i="8"/>
  <c r="N13" i="8"/>
  <c r="I23" i="8"/>
  <c r="K32" i="8"/>
  <c r="L28" i="8"/>
  <c r="P23" i="8"/>
  <c r="P28" i="8"/>
  <c r="O23" i="8"/>
  <c r="P32" i="8"/>
  <c r="L29" i="8"/>
  <c r="J24" i="8"/>
  <c r="R33" i="8"/>
  <c r="V31" i="8"/>
  <c r="N28" i="8"/>
  <c r="O25" i="8"/>
  <c r="O34" i="8"/>
  <c r="S31" i="8"/>
  <c r="N34" i="8"/>
  <c r="K30" i="8"/>
  <c r="L27" i="8"/>
  <c r="P22" i="8"/>
  <c r="R19" i="8"/>
  <c r="K17" i="8"/>
  <c r="R14" i="8"/>
  <c r="H32" i="8"/>
  <c r="T32" i="8"/>
  <c r="I30" i="8"/>
  <c r="L30" i="8"/>
  <c r="R29" i="8"/>
  <c r="J34" i="8"/>
  <c r="H13" i="8"/>
  <c r="U14" i="8"/>
  <c r="R23" i="8"/>
  <c r="V23" i="8"/>
  <c r="O27" i="8"/>
  <c r="M31" i="8"/>
  <c r="U18" i="8"/>
  <c r="V21" i="8"/>
  <c r="J23" i="8"/>
  <c r="Q24" i="8"/>
  <c r="J25" i="8"/>
  <c r="N16" i="8"/>
  <c r="U19" i="8"/>
  <c r="T22" i="8"/>
  <c r="S24" i="8"/>
  <c r="J27" i="8"/>
  <c r="S29" i="8"/>
  <c r="R30" i="8"/>
  <c r="L33" i="8"/>
  <c r="V34" i="8"/>
  <c r="H27" i="8"/>
  <c r="P15" i="8"/>
  <c r="G34" i="8"/>
  <c r="G23" i="8"/>
  <c r="V14" i="8"/>
  <c r="P4" i="8"/>
  <c r="F6" i="8"/>
  <c r="E34" i="8"/>
  <c r="P10" i="8"/>
  <c r="J21" i="8"/>
  <c r="G26" i="8"/>
  <c r="R5" i="8"/>
  <c r="U9" i="8"/>
  <c r="S16" i="8"/>
  <c r="M27" i="8"/>
  <c r="T31" i="8"/>
  <c r="I26" i="8"/>
  <c r="S23" i="8"/>
  <c r="M26" i="8"/>
  <c r="R34" i="8"/>
  <c r="L32" i="8"/>
  <c r="J28" i="8"/>
  <c r="U24" i="8"/>
  <c r="O31" i="8"/>
  <c r="J30" i="8"/>
  <c r="R27" i="8"/>
  <c r="K25" i="8"/>
  <c r="P33" i="8"/>
  <c r="U30" i="8"/>
  <c r="O33" i="8"/>
  <c r="S28" i="8"/>
  <c r="S26" i="8"/>
  <c r="R21" i="8"/>
  <c r="P19" i="8"/>
  <c r="U17" i="8"/>
  <c r="I13" i="8"/>
  <c r="H28" i="8"/>
  <c r="U32" i="8"/>
  <c r="P29" i="8"/>
  <c r="P27" i="8"/>
  <c r="I31" i="8"/>
  <c r="J12" i="8"/>
  <c r="H23" i="8"/>
  <c r="R13" i="8"/>
  <c r="Q14" i="8"/>
  <c r="L17" i="8"/>
  <c r="M18" i="8"/>
  <c r="N19" i="8"/>
  <c r="T21" i="8"/>
  <c r="R22" i="8"/>
  <c r="P25" i="8"/>
  <c r="U26" i="8"/>
  <c r="K27" i="8"/>
  <c r="N29" i="8"/>
  <c r="K33" i="8"/>
  <c r="J18" i="8"/>
  <c r="P18" i="8"/>
  <c r="Q21" i="8"/>
  <c r="K22" i="8"/>
  <c r="L23" i="8"/>
  <c r="M24" i="8"/>
  <c r="S25" i="8"/>
  <c r="J26" i="8"/>
  <c r="T27" i="8"/>
  <c r="N30" i="8"/>
  <c r="Q32" i="8"/>
  <c r="T34" i="8"/>
  <c r="J19" i="8"/>
  <c r="L21" i="8"/>
  <c r="R24" i="8"/>
  <c r="I28" i="8"/>
  <c r="K28" i="8"/>
  <c r="P30" i="8"/>
  <c r="S33" i="8"/>
  <c r="H3" i="8"/>
  <c r="J11" i="8"/>
  <c r="H9" i="8"/>
  <c r="R12" i="8"/>
  <c r="L26" i="8"/>
  <c r="U27" i="8"/>
  <c r="R26" i="8"/>
  <c r="M32" i="8"/>
  <c r="K18" i="8"/>
  <c r="U31" i="8"/>
  <c r="V30" i="8"/>
  <c r="M33" i="8"/>
  <c r="E20" i="8"/>
  <c r="D28" i="8"/>
  <c r="D23" i="8"/>
  <c r="D34" i="8"/>
  <c r="D13" i="8"/>
  <c r="D11" i="8"/>
  <c r="D29" i="8"/>
  <c r="D10" i="8"/>
  <c r="D24" i="8"/>
  <c r="P24" i="8"/>
  <c r="L31" i="8"/>
  <c r="G12" i="8"/>
  <c r="N11" i="8"/>
  <c r="J3" i="8"/>
  <c r="E21" i="8"/>
  <c r="N17" i="8"/>
  <c r="Q23" i="8"/>
  <c r="K34" i="8"/>
  <c r="L24" i="8"/>
  <c r="K29" i="8"/>
  <c r="V15" i="8"/>
  <c r="V29" i="8"/>
  <c r="Q15" i="8"/>
  <c r="R25" i="8"/>
  <c r="O28" i="8"/>
  <c r="M29" i="8"/>
  <c r="P21" i="8"/>
  <c r="N32" i="8"/>
  <c r="D8" i="8"/>
  <c r="D25" i="8"/>
  <c r="D31" i="8"/>
  <c r="Q34" i="8"/>
  <c r="V32" i="8"/>
  <c r="I32" i="8"/>
  <c r="T13" i="8"/>
  <c r="Q27" i="8"/>
  <c r="S20" i="8"/>
  <c r="M19" i="8"/>
  <c r="T7" i="8"/>
  <c r="T30" i="8"/>
  <c r="U34" i="8"/>
  <c r="N14" i="8"/>
  <c r="F9" i="8"/>
  <c r="G18" i="8"/>
  <c r="R28" i="8"/>
  <c r="H25" i="8"/>
  <c r="I27" i="8"/>
  <c r="D16" i="8"/>
  <c r="D22" i="8"/>
  <c r="D33" i="8"/>
  <c r="D15" i="8"/>
  <c r="D18" i="8"/>
  <c r="D32" i="8"/>
  <c r="I34" i="8"/>
  <c r="S33" i="22"/>
  <c r="N20" i="22"/>
  <c r="U16" i="22"/>
  <c r="E15" i="22"/>
  <c r="N8" i="22"/>
  <c r="U5" i="22"/>
  <c r="P6" i="22"/>
  <c r="V34" i="22"/>
  <c r="U34" i="22"/>
  <c r="N34" i="22"/>
  <c r="D34" i="22"/>
  <c r="L34" i="22"/>
  <c r="K34" i="22"/>
  <c r="G34" i="22"/>
  <c r="M34" i="22"/>
  <c r="J34" i="22"/>
  <c r="I34" i="22"/>
  <c r="T34" i="22"/>
  <c r="E34" i="22"/>
  <c r="S34" i="22"/>
  <c r="O34" i="22"/>
  <c r="G27" i="8"/>
  <c r="M8" i="8"/>
  <c r="S22" i="8"/>
  <c r="G22" i="8"/>
  <c r="R11" i="8"/>
  <c r="F18" i="8"/>
  <c r="U16" i="8"/>
  <c r="R35" i="8"/>
  <c r="J35" i="8"/>
  <c r="M35" i="8"/>
  <c r="D35" i="8"/>
  <c r="T35" i="8"/>
  <c r="N35" i="8"/>
  <c r="G35" i="8"/>
  <c r="S35" i="8"/>
  <c r="L35" i="8"/>
  <c r="I35" i="8"/>
  <c r="V35" i="8"/>
  <c r="Q35" i="8"/>
  <c r="I35" i="22"/>
  <c r="S35" i="22"/>
  <c r="E35" i="22"/>
  <c r="J35" i="22"/>
  <c r="F35" i="22"/>
  <c r="T35" i="22"/>
  <c r="O35" i="8"/>
  <c r="R35" i="22"/>
  <c r="K35" i="8"/>
  <c r="Q35" i="22"/>
  <c r="P35" i="8"/>
  <c r="L35" i="22"/>
  <c r="N35" i="22"/>
  <c r="U35" i="22"/>
  <c r="M35" i="22"/>
  <c r="O35" i="22"/>
  <c r="G35" i="22"/>
  <c r="D35" i="22"/>
  <c r="K35" i="22"/>
  <c r="P35" i="22"/>
  <c r="V35" i="22"/>
  <c r="H35" i="22"/>
  <c r="H29" i="8"/>
  <c r="P20" i="8"/>
  <c r="F5" i="8"/>
  <c r="Q17" i="8"/>
  <c r="P3" i="8"/>
  <c r="S18" i="8"/>
  <c r="N3" i="8"/>
  <c r="J22" i="8"/>
  <c r="M11" i="8"/>
  <c r="N5" i="8"/>
  <c r="E19" i="8"/>
  <c r="U20" i="8"/>
  <c r="F36" i="8"/>
  <c r="S36" i="8"/>
  <c r="H36" i="8"/>
  <c r="M36" i="8"/>
  <c r="V36" i="8"/>
  <c r="N36" i="8"/>
  <c r="P36" i="8"/>
  <c r="D36" i="8"/>
  <c r="L36" i="8"/>
  <c r="O36" i="8"/>
  <c r="Q36" i="8"/>
  <c r="K36" i="8"/>
  <c r="J36" i="8"/>
  <c r="I36" i="8"/>
  <c r="G36" i="8"/>
  <c r="R36" i="8"/>
  <c r="U36" i="8"/>
  <c r="J36" i="22"/>
  <c r="N36" i="22"/>
  <c r="G36" i="22"/>
  <c r="D36" i="22"/>
  <c r="H36" i="22"/>
  <c r="Q36" i="22"/>
  <c r="T36" i="22"/>
  <c r="S36" i="22"/>
  <c r="T36" i="8"/>
  <c r="L36" i="22"/>
  <c r="E36" i="8"/>
  <c r="U36" i="22"/>
  <c r="V36" i="22"/>
  <c r="F36" i="22"/>
  <c r="R36" i="22"/>
  <c r="K36" i="22"/>
  <c r="O36" i="22"/>
  <c r="M36" i="22"/>
  <c r="E36" i="22"/>
  <c r="P36" i="22"/>
  <c r="K24" i="8"/>
  <c r="H37" i="8"/>
  <c r="V37" i="8"/>
  <c r="R37" i="8"/>
  <c r="L37" i="8"/>
  <c r="M37" i="8"/>
  <c r="D37" i="8"/>
  <c r="G37" i="8"/>
  <c r="P37" i="8"/>
  <c r="K37" i="8"/>
  <c r="U37" i="8"/>
  <c r="T37" i="8"/>
  <c r="E37" i="8"/>
  <c r="N37" i="8"/>
  <c r="J37" i="8"/>
  <c r="I37" i="8"/>
  <c r="O37" i="8"/>
  <c r="M33" i="22"/>
  <c r="Q37" i="22"/>
  <c r="K37" i="22"/>
  <c r="N37" i="22"/>
  <c r="Q37" i="8"/>
  <c r="R37" i="22"/>
  <c r="T37" i="22"/>
  <c r="H37" i="22"/>
  <c r="U37" i="22"/>
  <c r="S37" i="8"/>
  <c r="F37" i="8"/>
  <c r="J37" i="22"/>
  <c r="V37" i="22"/>
  <c r="G37" i="22"/>
  <c r="D37" i="22"/>
  <c r="F37" i="22"/>
  <c r="L37" i="22"/>
  <c r="M37" i="22"/>
  <c r="P37" i="22"/>
  <c r="S37" i="22"/>
  <c r="O37" i="22"/>
  <c r="E37" i="22"/>
  <c r="I37" i="22"/>
  <c r="I5" i="8"/>
  <c r="Q13" i="8"/>
  <c r="O15" i="8"/>
  <c r="L3" i="8"/>
  <c r="Q29" i="8"/>
  <c r="K12" i="8"/>
  <c r="M4" i="8"/>
  <c r="V20" i="8"/>
  <c r="V9" i="8"/>
  <c r="K4" i="8"/>
  <c r="K23" i="8"/>
  <c r="Q26" i="8"/>
  <c r="M14" i="8"/>
  <c r="J6" i="8"/>
  <c r="D39" i="8"/>
  <c r="D39" i="22"/>
  <c r="R39" i="22"/>
  <c r="U39" i="22"/>
  <c r="S13" i="8"/>
  <c r="V25" i="8"/>
  <c r="G14" i="8"/>
  <c r="L9" i="8"/>
  <c r="O16" i="8"/>
  <c r="E33" i="8"/>
  <c r="U4" i="8"/>
  <c r="V11" i="8"/>
  <c r="L22" i="8"/>
  <c r="E32" i="8"/>
  <c r="V19" i="8"/>
  <c r="T39" i="22"/>
  <c r="I9" i="22"/>
  <c r="H12" i="22"/>
  <c r="R14" i="22"/>
  <c r="I17" i="22"/>
  <c r="U20" i="22"/>
  <c r="T25" i="22"/>
  <c r="I31" i="22"/>
  <c r="I36" i="22"/>
  <c r="E9" i="22"/>
  <c r="U33" i="22"/>
  <c r="K6" i="22"/>
  <c r="Q7" i="22"/>
  <c r="M9" i="22"/>
  <c r="P12" i="22"/>
  <c r="O14" i="22"/>
  <c r="L17" i="22"/>
  <c r="N21" i="22"/>
  <c r="L29" i="22"/>
  <c r="H35" i="8"/>
  <c r="R20" i="8"/>
  <c r="R15" i="8"/>
  <c r="O11" i="8"/>
  <c r="Q7" i="8"/>
  <c r="M5" i="8"/>
  <c r="F27" i="8"/>
  <c r="V33" i="8"/>
  <c r="H15" i="8"/>
  <c r="S6" i="8"/>
  <c r="V12" i="8"/>
  <c r="Q25" i="8"/>
  <c r="F21" i="8"/>
  <c r="U6" i="8"/>
  <c r="S9" i="8"/>
  <c r="P13" i="8"/>
  <c r="Q20" i="8"/>
  <c r="T12" i="8"/>
  <c r="V6" i="8"/>
  <c r="S7" i="8"/>
  <c r="H22" i="8"/>
  <c r="K19" i="8"/>
  <c r="M13" i="8"/>
  <c r="R3" i="8"/>
  <c r="R8" i="8"/>
  <c r="H14" i="8"/>
  <c r="O21" i="8"/>
  <c r="G30" i="8"/>
  <c r="F10" i="8"/>
  <c r="P8" i="8"/>
  <c r="J13" i="8"/>
  <c r="G20" i="8"/>
  <c r="F20" i="8"/>
  <c r="I7" i="8"/>
  <c r="H39" i="22"/>
  <c r="W39" i="22"/>
  <c r="F24" i="8"/>
  <c r="F39" i="8"/>
  <c r="S39" i="8"/>
  <c r="V39" i="8"/>
  <c r="L39" i="8"/>
  <c r="E39" i="8"/>
  <c r="U39" i="8"/>
  <c r="T39" i="8"/>
  <c r="G39" i="8"/>
  <c r="W39" i="8"/>
  <c r="O39" i="8"/>
  <c r="N39" i="8"/>
  <c r="H39" i="8"/>
  <c r="R39" i="8"/>
  <c r="M39" i="8"/>
  <c r="I39" i="8"/>
  <c r="Q39" i="8"/>
  <c r="P39" i="8"/>
  <c r="K39" i="8"/>
  <c r="J39" i="8"/>
  <c r="S39" i="22"/>
  <c r="P39" i="22"/>
  <c r="E39" i="22"/>
  <c r="J39" i="22"/>
  <c r="O39" i="22"/>
  <c r="N39" i="22"/>
  <c r="V39" i="22"/>
  <c r="Q39" i="22"/>
  <c r="F39" i="22"/>
  <c r="I39" i="22"/>
  <c r="M39" i="22"/>
  <c r="G39" i="22"/>
  <c r="L39" i="22"/>
  <c r="K39" i="22"/>
  <c r="N5" i="22"/>
  <c r="F5" i="22"/>
  <c r="F8" i="22"/>
  <c r="T11" i="22"/>
  <c r="E30" i="22"/>
  <c r="G14" i="22"/>
  <c r="M16" i="22"/>
  <c r="V19" i="22"/>
  <c r="T22" i="22"/>
  <c r="H27" i="22"/>
  <c r="O30" i="22"/>
  <c r="H34" i="22"/>
  <c r="O3" i="22"/>
  <c r="E24" i="22"/>
  <c r="V29" i="22"/>
  <c r="P3" i="22"/>
  <c r="M6" i="22"/>
  <c r="J7" i="22"/>
  <c r="P9" i="22"/>
  <c r="V11" i="22"/>
  <c r="E20" i="22"/>
  <c r="I15" i="22"/>
  <c r="H16" i="22"/>
  <c r="M17" i="22"/>
  <c r="I24" i="22"/>
  <c r="S30" i="22"/>
  <c r="E35" i="8"/>
  <c r="I25" i="8"/>
  <c r="I18" i="8"/>
  <c r="U13" i="8"/>
  <c r="N12" i="8"/>
  <c r="O9" i="8"/>
  <c r="Q5" i="8"/>
  <c r="V4" i="8"/>
  <c r="F29" i="8"/>
  <c r="E15" i="8"/>
  <c r="K20" i="8"/>
  <c r="I12" i="8"/>
  <c r="I6" i="8"/>
  <c r="G28" i="8"/>
  <c r="K15" i="8"/>
  <c r="E16" i="8"/>
  <c r="G8" i="8"/>
  <c r="Q4" i="8"/>
  <c r="V8" i="8"/>
  <c r="L12" i="8"/>
  <c r="R17" i="8"/>
  <c r="U25" i="8"/>
  <c r="V13" i="8"/>
  <c r="E10" i="8"/>
  <c r="G31" i="8"/>
  <c r="O6" i="8"/>
  <c r="R9" i="8"/>
  <c r="O12" i="8"/>
  <c r="L15" i="8"/>
  <c r="O24" i="8"/>
  <c r="F33" i="8"/>
  <c r="G6" i="8"/>
  <c r="M7" i="8"/>
  <c r="M10" i="8"/>
  <c r="K13" i="8"/>
  <c r="O20" i="8"/>
  <c r="T11" i="8"/>
  <c r="F28" i="8"/>
  <c r="G5" i="8"/>
  <c r="R7" i="8"/>
  <c r="I11" i="8"/>
  <c r="R18" i="8"/>
  <c r="G4" i="8"/>
  <c r="I19" i="8"/>
  <c r="M3" i="8"/>
  <c r="H34" i="8"/>
  <c r="N8" i="8"/>
  <c r="Q26" i="22"/>
  <c r="F35" i="8"/>
  <c r="U35" i="8"/>
  <c r="N22" i="8"/>
  <c r="O17" i="8"/>
  <c r="I14" i="8"/>
  <c r="H21" i="8"/>
  <c r="L11" i="8"/>
  <c r="S10" i="8"/>
  <c r="H5" i="8"/>
  <c r="T5" i="8"/>
  <c r="G10" i="8"/>
  <c r="E27" i="8"/>
  <c r="F17" i="8"/>
  <c r="T24" i="8"/>
  <c r="P16" i="8"/>
  <c r="H11" i="8"/>
  <c r="J7" i="8"/>
  <c r="V5" i="8"/>
  <c r="T8" i="8"/>
  <c r="O18" i="8"/>
  <c r="F15" i="8"/>
  <c r="F11" i="8"/>
  <c r="G32" i="8"/>
  <c r="U5" i="8"/>
  <c r="R4" i="8"/>
  <c r="H7" i="8"/>
  <c r="L8" i="8"/>
  <c r="H30" i="8"/>
  <c r="T16" i="8"/>
  <c r="U21" i="8"/>
  <c r="J8" i="8"/>
  <c r="L16" i="8"/>
  <c r="S27" i="8"/>
  <c r="F16" i="8"/>
  <c r="G7" i="8"/>
  <c r="J4" i="8"/>
  <c r="I8" i="8"/>
  <c r="U11" i="8"/>
  <c r="H33" i="8"/>
  <c r="Q16" i="8"/>
  <c r="I22" i="8"/>
  <c r="J9" i="8"/>
  <c r="E8" i="8"/>
  <c r="L5" i="8"/>
  <c r="O3" i="8"/>
  <c r="L10" i="8"/>
  <c r="H12" i="8"/>
  <c r="L14" i="8"/>
  <c r="L18" i="8"/>
  <c r="T25" i="8"/>
  <c r="E11" i="8"/>
  <c r="E28" i="8"/>
  <c r="G21" i="8"/>
  <c r="I3" i="8"/>
  <c r="T10" i="8"/>
  <c r="H31" i="8"/>
  <c r="T17" i="8"/>
  <c r="N23" i="8"/>
  <c r="N7" i="8"/>
  <c r="T26" i="8"/>
  <c r="G19" i="8"/>
  <c r="N10" i="8"/>
  <c r="I21" i="8"/>
  <c r="G17" i="8"/>
  <c r="O38" i="8"/>
  <c r="M38" i="8"/>
  <c r="S38" i="8"/>
  <c r="Q38" i="8"/>
  <c r="R38" i="22"/>
  <c r="O38" i="22"/>
  <c r="U38" i="22"/>
  <c r="I38" i="22"/>
  <c r="G38" i="22"/>
  <c r="H38" i="22"/>
  <c r="F38" i="22"/>
  <c r="V38" i="22"/>
  <c r="M38" i="22"/>
  <c r="P38" i="22"/>
  <c r="Q38" i="22"/>
  <c r="L38" i="22"/>
  <c r="T38" i="22"/>
  <c r="D38" i="22"/>
  <c r="J38" i="22"/>
  <c r="I38" i="8"/>
  <c r="N38" i="22"/>
  <c r="N38" i="8"/>
  <c r="U38" i="8"/>
  <c r="T38" i="8"/>
  <c r="D38" i="8"/>
  <c r="L38" i="8"/>
  <c r="O7" i="8"/>
  <c r="Q10" i="8"/>
  <c r="K11" i="8"/>
  <c r="H26" i="8"/>
  <c r="S15" i="8"/>
  <c r="P17" i="8"/>
  <c r="T23" i="8"/>
  <c r="O8" i="8"/>
  <c r="O14" i="8"/>
  <c r="J20" i="8"/>
  <c r="F4" i="8"/>
  <c r="F13" i="8"/>
  <c r="G15" i="8"/>
  <c r="S4" i="8"/>
  <c r="H4" i="8"/>
  <c r="K9" i="8"/>
  <c r="U10" i="8"/>
  <c r="S12" i="8"/>
  <c r="T14" i="8"/>
  <c r="J17" i="8"/>
  <c r="N21" i="8"/>
  <c r="M28" i="8"/>
  <c r="F7" i="8"/>
  <c r="E13" i="8"/>
  <c r="T3" i="8"/>
  <c r="Q3" i="8"/>
  <c r="K7" i="8"/>
  <c r="N9" i="8"/>
  <c r="Q11" i="8"/>
  <c r="H17" i="8"/>
  <c r="M15" i="8"/>
  <c r="L19" i="8"/>
  <c r="V24" i="8"/>
  <c r="E31" i="8"/>
  <c r="F34" i="8"/>
  <c r="F30" i="8"/>
  <c r="G29" i="8"/>
  <c r="M6" i="8"/>
  <c r="U7" i="8"/>
  <c r="S8" i="8"/>
  <c r="P12" i="8"/>
  <c r="P14" i="8"/>
  <c r="T19" i="8"/>
  <c r="N26" i="8"/>
  <c r="R6" i="8"/>
  <c r="T15" i="8"/>
  <c r="E17" i="8"/>
  <c r="L4" i="8"/>
  <c r="K10" i="8"/>
  <c r="J14" i="8"/>
  <c r="E22" i="8"/>
  <c r="H6" i="8"/>
  <c r="K38" i="8"/>
  <c r="V38" i="8"/>
  <c r="J38" i="8"/>
  <c r="R38" i="8"/>
  <c r="E26" i="8"/>
  <c r="M12" i="8"/>
  <c r="U22" i="8"/>
  <c r="E30" i="8"/>
  <c r="U3" i="8"/>
  <c r="P5" i="8"/>
  <c r="K8" i="8"/>
  <c r="V18" i="8"/>
  <c r="G9" i="8"/>
  <c r="K5" i="8"/>
  <c r="E18" i="8"/>
  <c r="G25" i="8"/>
  <c r="G13" i="8"/>
  <c r="P6" i="8"/>
  <c r="Q6" i="8"/>
  <c r="U8" i="8"/>
  <c r="T9" i="8"/>
  <c r="H18" i="8"/>
  <c r="S14" i="8"/>
  <c r="I17" i="8"/>
  <c r="S21" i="8"/>
  <c r="Q31" i="8"/>
  <c r="T6" i="8"/>
  <c r="V10" i="8"/>
  <c r="N15" i="8"/>
  <c r="F23" i="8"/>
  <c r="F32" i="8"/>
  <c r="G11" i="8"/>
  <c r="K6" i="8"/>
  <c r="Q9" i="8"/>
  <c r="P11" i="8"/>
  <c r="K16" i="8"/>
  <c r="M22" i="8"/>
  <c r="T4" i="8"/>
  <c r="E9" i="8"/>
  <c r="E25" i="8"/>
  <c r="J5" i="8"/>
  <c r="H8" i="8"/>
  <c r="H20" i="8"/>
  <c r="J16" i="8"/>
  <c r="F26" i="8"/>
  <c r="F22" i="8"/>
  <c r="G33" i="8"/>
  <c r="G3" i="8"/>
  <c r="L6" i="8"/>
  <c r="V7" i="8"/>
  <c r="J10" i="8"/>
  <c r="Q12" i="8"/>
  <c r="J15" i="8"/>
  <c r="T20" i="8"/>
  <c r="E24" i="8"/>
  <c r="O4" i="8"/>
  <c r="F25" i="8"/>
  <c r="N6" i="8"/>
  <c r="E14" i="8"/>
  <c r="E23" i="8"/>
  <c r="H10" i="8"/>
  <c r="U12" i="8"/>
  <c r="O13" i="8"/>
  <c r="M17" i="8"/>
  <c r="Q18" i="8"/>
  <c r="V27" i="8"/>
  <c r="P7" i="8"/>
  <c r="E12" i="8"/>
  <c r="L7" i="8"/>
  <c r="E29" i="8"/>
  <c r="N4" i="8"/>
  <c r="F12" i="8"/>
  <c r="W3" i="8"/>
  <c r="W19" i="8"/>
  <c r="W35" i="8"/>
  <c r="W16" i="8"/>
  <c r="W32" i="8"/>
  <c r="W14" i="8"/>
  <c r="W34" i="8"/>
  <c r="W13" i="8"/>
  <c r="W29" i="8"/>
  <c r="E2" i="8"/>
  <c r="E38" i="8"/>
  <c r="P38" i="8"/>
  <c r="W12" i="8"/>
  <c r="W7" i="8"/>
  <c r="W23" i="8"/>
  <c r="W4" i="8"/>
  <c r="W20" i="8"/>
  <c r="W36" i="8"/>
  <c r="W18" i="8"/>
  <c r="W38" i="8"/>
  <c r="W17" i="8"/>
  <c r="W33" i="8"/>
  <c r="F38" i="8"/>
  <c r="W31" i="8"/>
  <c r="W10" i="8"/>
  <c r="W26" i="8"/>
  <c r="W11" i="8"/>
  <c r="W27" i="8"/>
  <c r="W8" i="8"/>
  <c r="W24" i="8"/>
  <c r="W6" i="8"/>
  <c r="W22" i="8"/>
  <c r="W5" i="8"/>
  <c r="W21" i="8"/>
  <c r="W37" i="8"/>
  <c r="H38" i="8"/>
  <c r="W15" i="8"/>
  <c r="W28" i="8"/>
  <c r="W30" i="8"/>
  <c r="W9" i="8"/>
  <c r="W25" i="8"/>
  <c r="G38" i="8"/>
  <c r="W3" i="22"/>
  <c r="W19" i="22"/>
  <c r="W35" i="22"/>
  <c r="W4" i="22"/>
  <c r="W20" i="22"/>
  <c r="W36" i="22"/>
  <c r="W5" i="22"/>
  <c r="W21" i="22"/>
  <c r="W37" i="22"/>
  <c r="K38" i="22"/>
  <c r="E38" i="22"/>
  <c r="W15" i="22"/>
  <c r="W34" i="22"/>
  <c r="W7" i="22"/>
  <c r="W23" i="22"/>
  <c r="W10" i="22"/>
  <c r="W8" i="22"/>
  <c r="W24" i="22"/>
  <c r="W14" i="22"/>
  <c r="W9" i="22"/>
  <c r="W25" i="22"/>
  <c r="W6" i="22"/>
  <c r="W16" i="22"/>
  <c r="W38" i="22"/>
  <c r="W17" i="22"/>
  <c r="W30" i="22"/>
  <c r="S38" i="22"/>
  <c r="W11" i="22"/>
  <c r="W27" i="22"/>
  <c r="W22" i="22"/>
  <c r="W12" i="22"/>
  <c r="W28" i="22"/>
  <c r="W26" i="22"/>
  <c r="W13" i="22"/>
  <c r="W29" i="22"/>
  <c r="W18" i="22"/>
  <c r="C3" i="25" a="1"/>
  <c r="W31" i="22"/>
  <c r="W32" i="22"/>
  <c r="W33" i="22"/>
  <c r="F13" i="25"/>
  <c r="F24" i="25"/>
  <c r="G24" i="25" s="1"/>
  <c r="E40" i="25"/>
  <c r="G40" i="25" s="1"/>
  <c r="F10" i="25"/>
  <c r="G10" i="25" s="1"/>
  <c r="F22" i="25"/>
  <c r="G22" i="25" s="1"/>
  <c r="F19" i="25"/>
  <c r="E41" i="25"/>
  <c r="F18" i="25"/>
  <c r="G18" i="25" s="1"/>
  <c r="F38" i="25"/>
  <c r="G38" i="25" s="1"/>
  <c r="W10" i="30"/>
  <c r="W6" i="30"/>
  <c r="W4" i="30"/>
  <c r="W3" i="30"/>
  <c r="E30" i="25"/>
  <c r="W3" i="32"/>
  <c r="W6" i="32"/>
  <c r="W9" i="32"/>
  <c r="W12" i="32"/>
  <c r="W15" i="32"/>
  <c r="W18" i="32"/>
  <c r="W18" i="30"/>
  <c r="W15" i="30"/>
  <c r="W12" i="30"/>
  <c r="W9" i="30"/>
  <c r="W8" i="30"/>
  <c r="W5" i="30"/>
  <c r="W5" i="32"/>
  <c r="W8" i="32"/>
  <c r="W11" i="32"/>
  <c r="W14" i="32"/>
  <c r="W17" i="32"/>
  <c r="U2" i="32"/>
  <c r="T2" i="32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D2" i="32"/>
  <c r="C2" i="32"/>
  <c r="B2" i="32"/>
  <c r="W20" i="30"/>
  <c r="W17" i="30"/>
  <c r="W14" i="30"/>
  <c r="W11" i="30"/>
  <c r="W7" i="30"/>
  <c r="J2" i="30"/>
  <c r="C2" i="30"/>
  <c r="D2" i="30"/>
  <c r="E2" i="30"/>
  <c r="F2" i="30"/>
  <c r="G2" i="30"/>
  <c r="H2" i="30"/>
  <c r="I2" i="30"/>
  <c r="K2" i="30"/>
  <c r="L2" i="30"/>
  <c r="M2" i="30"/>
  <c r="N2" i="30"/>
  <c r="O2" i="30"/>
  <c r="P2" i="30"/>
  <c r="Q2" i="30"/>
  <c r="R2" i="30"/>
  <c r="S2" i="30"/>
  <c r="T2" i="30"/>
  <c r="U2" i="30"/>
  <c r="B2" i="30"/>
  <c r="I10" i="22"/>
  <c r="S10" i="22"/>
  <c r="T10" i="22"/>
  <c r="L10" i="22"/>
  <c r="G10" i="22"/>
  <c r="O10" i="22"/>
  <c r="J10" i="22"/>
  <c r="N10" i="22"/>
  <c r="H10" i="22"/>
  <c r="U10" i="22"/>
  <c r="P10" i="22"/>
  <c r="E10" i="22"/>
  <c r="R10" i="22"/>
  <c r="Q10" i="22"/>
  <c r="F10" i="22"/>
  <c r="K10" i="22"/>
  <c r="V10" i="22"/>
  <c r="M10" i="22"/>
  <c r="D10" i="22"/>
  <c r="F43" i="25" a="1"/>
  <c r="T22" i="30" l="1"/>
  <c r="T25" i="30" s="1"/>
  <c r="T23" i="30"/>
  <c r="S23" i="30"/>
  <c r="S22" i="30"/>
  <c r="Z2" i="32"/>
  <c r="D21" i="32"/>
  <c r="D24" i="32" s="1"/>
  <c r="D22" i="32"/>
  <c r="I23" i="30"/>
  <c r="I22" i="30"/>
  <c r="I25" i="30" s="1"/>
  <c r="Q23" i="30"/>
  <c r="Q22" i="30"/>
  <c r="Q25" i="30" s="1"/>
  <c r="F22" i="32"/>
  <c r="F21" i="32"/>
  <c r="F24" i="32" s="1"/>
  <c r="P22" i="30"/>
  <c r="P25" i="30" s="1"/>
  <c r="P23" i="30"/>
  <c r="G22" i="30"/>
  <c r="G23" i="30"/>
  <c r="G22" i="32"/>
  <c r="G21" i="32"/>
  <c r="G24" i="32" s="1"/>
  <c r="O22" i="32"/>
  <c r="O21" i="32"/>
  <c r="O24" i="32" s="1"/>
  <c r="C21" i="32"/>
  <c r="C24" i="32" s="1"/>
  <c r="C22" i="32"/>
  <c r="T21" i="32"/>
  <c r="T22" i="32"/>
  <c r="R23" i="30"/>
  <c r="R22" i="30"/>
  <c r="R25" i="30" s="1"/>
  <c r="M22" i="32"/>
  <c r="M21" i="32"/>
  <c r="M24" i="32" s="1"/>
  <c r="H23" i="30"/>
  <c r="H22" i="30"/>
  <c r="O22" i="30"/>
  <c r="O23" i="30"/>
  <c r="F22" i="30"/>
  <c r="F23" i="30"/>
  <c r="H21" i="32"/>
  <c r="H22" i="32"/>
  <c r="P21" i="32"/>
  <c r="P24" i="32" s="1"/>
  <c r="P22" i="32"/>
  <c r="N22" i="30"/>
  <c r="N23" i="30"/>
  <c r="E22" i="30"/>
  <c r="E23" i="30"/>
  <c r="I21" i="32"/>
  <c r="I22" i="32"/>
  <c r="Q21" i="32"/>
  <c r="Q24" i="32" s="1"/>
  <c r="Q22" i="32"/>
  <c r="B22" i="32"/>
  <c r="B21" i="32"/>
  <c r="B24" i="32" s="1"/>
  <c r="J21" i="32"/>
  <c r="J22" i="32"/>
  <c r="R21" i="32"/>
  <c r="R22" i="32"/>
  <c r="U22" i="30"/>
  <c r="U25" i="30" s="1"/>
  <c r="U23" i="30"/>
  <c r="C23" i="30"/>
  <c r="C22" i="30"/>
  <c r="C25" i="30" s="1"/>
  <c r="M22" i="30"/>
  <c r="M23" i="30"/>
  <c r="L22" i="30"/>
  <c r="L23" i="30"/>
  <c r="J23" i="30"/>
  <c r="J22" i="30"/>
  <c r="Z2" i="30"/>
  <c r="D22" i="30"/>
  <c r="D25" i="30" s="1"/>
  <c r="D23" i="30"/>
  <c r="K21" i="32"/>
  <c r="K24" i="32" s="1"/>
  <c r="K22" i="32"/>
  <c r="L21" i="32"/>
  <c r="L22" i="32"/>
  <c r="U22" i="32"/>
  <c r="U21" i="32"/>
  <c r="B23" i="30"/>
  <c r="B22" i="30"/>
  <c r="S21" i="32"/>
  <c r="S24" i="32" s="1"/>
  <c r="S22" i="32"/>
  <c r="K22" i="30"/>
  <c r="K25" i="30" s="1"/>
  <c r="K23" i="30"/>
  <c r="E22" i="32"/>
  <c r="E21" i="32"/>
  <c r="N22" i="32"/>
  <c r="N21" i="32"/>
  <c r="N24" i="32" s="1"/>
  <c r="A3" i="23"/>
  <c r="B4" i="27" a="1"/>
  <c r="B4" i="27" s="1"/>
  <c r="Z17" i="30"/>
  <c r="Z12" i="32"/>
  <c r="Z20" i="30"/>
  <c r="Z9" i="32"/>
  <c r="Z15" i="32"/>
  <c r="Z6" i="32"/>
  <c r="Z7" i="30"/>
  <c r="Z11" i="30"/>
  <c r="Z18" i="32"/>
  <c r="Z3" i="32"/>
  <c r="Z14" i="30"/>
  <c r="P2" i="8"/>
  <c r="M4" i="27" s="1" a="1"/>
  <c r="M4" i="27" s="1"/>
  <c r="I2" i="8"/>
  <c r="F4" i="27" s="1" a="1"/>
  <c r="F4" i="27" s="1"/>
  <c r="G2" i="8"/>
  <c r="D4" i="27" s="1" a="1"/>
  <c r="D4" i="27" s="1"/>
  <c r="S2" i="8"/>
  <c r="P4" i="27" s="1" a="1"/>
  <c r="P4" i="27" s="1"/>
  <c r="T2" i="8"/>
  <c r="Q4" i="27" s="1" a="1"/>
  <c r="Q4" i="27" s="1"/>
  <c r="L2" i="8"/>
  <c r="I4" i="27" s="1" a="1"/>
  <c r="I4" i="27" s="1"/>
  <c r="U2" i="22"/>
  <c r="R4" i="23" s="1" a="1"/>
  <c r="R4" i="23" s="1"/>
  <c r="F2" i="22"/>
  <c r="C4" i="23" s="1" a="1"/>
  <c r="C4" i="23" s="1"/>
  <c r="H2" i="22"/>
  <c r="E4" i="23" s="1" a="1"/>
  <c r="E4" i="23" s="1"/>
  <c r="M2" i="22"/>
  <c r="J4" i="23" s="1" a="1"/>
  <c r="J4" i="23" s="1"/>
  <c r="N2" i="22"/>
  <c r="K4" i="23" s="1" a="1"/>
  <c r="K4" i="23" s="1"/>
  <c r="K2" i="22"/>
  <c r="H4" i="23" s="1" a="1"/>
  <c r="H4" i="23" s="1"/>
  <c r="Q2" i="22"/>
  <c r="N4" i="23" s="1" a="1"/>
  <c r="N4" i="23" s="1"/>
  <c r="S2" i="22"/>
  <c r="P4" i="23" s="1" a="1"/>
  <c r="P4" i="23" s="1"/>
  <c r="G2" i="22"/>
  <c r="D4" i="23" s="1" a="1"/>
  <c r="D4" i="23" s="1"/>
  <c r="O2" i="8"/>
  <c r="L4" i="27" s="1" a="1"/>
  <c r="L4" i="27" s="1"/>
  <c r="M2" i="8"/>
  <c r="J4" i="27" s="1" a="1"/>
  <c r="J4" i="27" s="1"/>
  <c r="Q2" i="8"/>
  <c r="N4" i="27" s="1" a="1"/>
  <c r="N4" i="27" s="1"/>
  <c r="F2" i="8"/>
  <c r="C4" i="27" s="1" a="1"/>
  <c r="C4" i="27" s="1"/>
  <c r="K2" i="8"/>
  <c r="H4" i="27" s="1" a="1"/>
  <c r="H4" i="27" s="1"/>
  <c r="H2" i="8"/>
  <c r="E4" i="27" s="1" a="1"/>
  <c r="E4" i="27" s="1"/>
  <c r="J2" i="22"/>
  <c r="G4" i="23" s="1" a="1"/>
  <c r="G4" i="23" s="1"/>
  <c r="R2" i="22"/>
  <c r="O4" i="23" s="1" a="1"/>
  <c r="O4" i="23" s="1"/>
  <c r="L2" i="22"/>
  <c r="I4" i="23" s="1" a="1"/>
  <c r="I4" i="23" s="1"/>
  <c r="T2" i="22"/>
  <c r="Q4" i="23" s="1" a="1"/>
  <c r="Q4" i="23" s="1"/>
  <c r="I2" i="22"/>
  <c r="F4" i="23" s="1" a="1"/>
  <c r="F4" i="23" s="1"/>
  <c r="D2" i="22"/>
  <c r="A4" i="23" s="1" a="1"/>
  <c r="A4" i="23" s="1"/>
  <c r="O2" i="22"/>
  <c r="L4" i="23" s="1" a="1"/>
  <c r="L4" i="23" s="1"/>
  <c r="P2" i="22"/>
  <c r="M4" i="23" s="1" a="1"/>
  <c r="M4" i="23" s="1"/>
  <c r="J2" i="8"/>
  <c r="G4" i="27" s="1" a="1"/>
  <c r="G4" i="27" s="1"/>
  <c r="R2" i="8"/>
  <c r="O4" i="27" s="1" a="1"/>
  <c r="O4" i="27" s="1"/>
  <c r="U2" i="8"/>
  <c r="R4" i="27" s="1" a="1"/>
  <c r="R4" i="27" s="1"/>
  <c r="N2" i="8"/>
  <c r="K4" i="27" s="1" a="1"/>
  <c r="K4" i="27" s="1"/>
  <c r="W2" i="22"/>
  <c r="T4" i="23" s="1" a="1"/>
  <c r="T4" i="23" s="1"/>
  <c r="V2" i="22"/>
  <c r="S4" i="23" s="1" a="1"/>
  <c r="S4" i="23" s="1"/>
  <c r="E2" i="22"/>
  <c r="B4" i="23" s="1" a="1"/>
  <c r="B4" i="23" s="1"/>
  <c r="E2" i="33" s="1" a="1"/>
  <c r="E2" i="33" s="1"/>
  <c r="W2" i="8"/>
  <c r="T4" i="27" s="1" a="1"/>
  <c r="T4" i="27" s="1"/>
  <c r="V2" i="8"/>
  <c r="S4" i="27" s="1" a="1"/>
  <c r="S4" i="27" s="1"/>
  <c r="X2" i="8"/>
  <c r="U4" i="27" s="1" a="1"/>
  <c r="U4" i="27" s="1"/>
  <c r="D2" i="8"/>
  <c r="A4" i="27" s="1" a="1"/>
  <c r="A4" i="27" s="1"/>
  <c r="Z4" i="30"/>
  <c r="Z12" i="30"/>
  <c r="W2" i="32"/>
  <c r="X8" i="32" s="1"/>
  <c r="F43" i="25"/>
  <c r="Z13" i="32"/>
  <c r="Z4" i="32"/>
  <c r="Z10" i="30"/>
  <c r="Z19" i="30"/>
  <c r="Z11" i="32"/>
  <c r="W2" i="30"/>
  <c r="X15" i="30" s="1"/>
  <c r="Z3" i="30"/>
  <c r="Z8" i="30"/>
  <c r="Z18" i="30"/>
  <c r="Z16" i="32"/>
  <c r="X11" i="32"/>
  <c r="Z7" i="32"/>
  <c r="Z9" i="30"/>
  <c r="Z16" i="30"/>
  <c r="Z14" i="32"/>
  <c r="Z5" i="32"/>
  <c r="Z5" i="30"/>
  <c r="Z15" i="30"/>
  <c r="Z19" i="32"/>
  <c r="Z10" i="32"/>
  <c r="Z6" i="30"/>
  <c r="Z13" i="30"/>
  <c r="Z17" i="32"/>
  <c r="X12" i="32"/>
  <c r="Z8" i="32"/>
  <c r="X3" i="32"/>
  <c r="C3" i="25"/>
  <c r="B4" i="25"/>
  <c r="B5" i="25" s="1"/>
  <c r="B6" i="25" s="1"/>
  <c r="B7" i="25" s="1"/>
  <c r="B8" i="25" s="1"/>
  <c r="B9" i="25" s="1"/>
  <c r="F41" i="25" a="1"/>
  <c r="E33" i="25" a="1"/>
  <c r="E25" i="25" a="1"/>
  <c r="E21" i="25" a="1"/>
  <c r="E9" i="25" a="1"/>
  <c r="F15" i="25" a="1"/>
  <c r="E43" i="25" a="1"/>
  <c r="E19" i="25" a="1"/>
  <c r="E32" i="25" a="1"/>
  <c r="F14" i="25" a="1"/>
  <c r="E16" i="25" a="1"/>
  <c r="E11" i="25" a="1"/>
  <c r="F27" i="25" a="1"/>
  <c r="F21" i="25" a="1"/>
  <c r="E29" i="25" a="1"/>
  <c r="F26" i="25" a="1"/>
  <c r="F30" i="25" a="1"/>
  <c r="E8" i="25" a="1"/>
  <c r="F8" i="25" a="1"/>
  <c r="E35" i="25" a="1"/>
  <c r="E20" i="25" a="1"/>
  <c r="F34" i="25" a="1"/>
  <c r="E6" i="25" a="1"/>
  <c r="E13" i="25" a="1"/>
  <c r="B10" i="25" l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X14" i="32"/>
  <c r="X15" i="32"/>
  <c r="E24" i="32"/>
  <c r="U24" i="32"/>
  <c r="N25" i="30"/>
  <c r="O25" i="30"/>
  <c r="T24" i="32"/>
  <c r="G25" i="30"/>
  <c r="J25" i="30"/>
  <c r="H25" i="30"/>
  <c r="L24" i="32"/>
  <c r="C2" i="33" a="1"/>
  <c r="G6" i="33" s="1"/>
  <c r="B4" i="34"/>
  <c r="L25" i="30"/>
  <c r="R24" i="32"/>
  <c r="I24" i="32"/>
  <c r="H24" i="32"/>
  <c r="S25" i="30"/>
  <c r="B25" i="30"/>
  <c r="M25" i="30"/>
  <c r="J24" i="32"/>
  <c r="E25" i="30"/>
  <c r="F25" i="30"/>
  <c r="B2" i="33" a="1"/>
  <c r="B2" i="33" s="1"/>
  <c r="B3" i="34"/>
  <c r="E21" i="25"/>
  <c r="E13" i="25"/>
  <c r="G13" i="25" s="1"/>
  <c r="E29" i="25"/>
  <c r="G29" i="25" s="1"/>
  <c r="E9" i="25"/>
  <c r="G9" i="25" s="1"/>
  <c r="F21" i="25"/>
  <c r="F27" i="25"/>
  <c r="G27" i="25" s="1"/>
  <c r="E19" i="25"/>
  <c r="G19" i="25" s="1"/>
  <c r="E43" i="25"/>
  <c r="G43" i="25" s="1"/>
  <c r="F30" i="25"/>
  <c r="G30" i="25" s="1"/>
  <c r="F26" i="25"/>
  <c r="G26" i="25" s="1"/>
  <c r="F41" i="25"/>
  <c r="G41" i="25" s="1"/>
  <c r="F14" i="25"/>
  <c r="G14" i="25" s="1"/>
  <c r="E20" i="25"/>
  <c r="G20" i="25" s="1"/>
  <c r="E25" i="25"/>
  <c r="G25" i="25" s="1"/>
  <c r="F8" i="25"/>
  <c r="A6" i="25" s="1"/>
  <c r="E6" i="25"/>
  <c r="G6" i="25" s="1"/>
  <c r="F34" i="25"/>
  <c r="G34" i="25" s="1"/>
  <c r="E16" i="25"/>
  <c r="G16" i="25" s="1"/>
  <c r="E8" i="25"/>
  <c r="F15" i="25"/>
  <c r="G15" i="25" s="1"/>
  <c r="E33" i="25"/>
  <c r="G33" i="25" s="1"/>
  <c r="E11" i="25"/>
  <c r="G11" i="25" s="1"/>
  <c r="E35" i="25"/>
  <c r="G35" i="25" s="1"/>
  <c r="E32" i="25"/>
  <c r="G32" i="25" s="1"/>
  <c r="A1" i="28" a="1"/>
  <c r="A1" i="28" s="1"/>
  <c r="A15" i="57" a="1"/>
  <c r="A15" i="57" s="1"/>
  <c r="A2" i="57" a="1"/>
  <c r="D2" i="33" a="1"/>
  <c r="D2" i="33" s="1"/>
  <c r="X13" i="32"/>
  <c r="X18" i="32"/>
  <c r="X17" i="32"/>
  <c r="X6" i="32"/>
  <c r="X10" i="32"/>
  <c r="X5" i="32"/>
  <c r="X9" i="32"/>
  <c r="C22" i="34"/>
  <c r="B6" i="34"/>
  <c r="X11" i="30"/>
  <c r="X12" i="30"/>
  <c r="X4" i="32"/>
  <c r="X19" i="32"/>
  <c r="X8" i="30"/>
  <c r="X18" i="30"/>
  <c r="X5" i="30"/>
  <c r="X7" i="30"/>
  <c r="X2" i="32"/>
  <c r="X16" i="32"/>
  <c r="X7" i="32"/>
  <c r="X9" i="30"/>
  <c r="X20" i="30"/>
  <c r="X14" i="30"/>
  <c r="X2" i="30"/>
  <c r="X3" i="30"/>
  <c r="X13" i="30"/>
  <c r="X4" i="30"/>
  <c r="X16" i="30"/>
  <c r="X6" i="30"/>
  <c r="X19" i="30"/>
  <c r="X10" i="30"/>
  <c r="X17" i="30"/>
  <c r="G27" i="33" l="1"/>
  <c r="G20" i="33"/>
  <c r="G24" i="33"/>
  <c r="G31" i="33"/>
  <c r="G29" i="33"/>
  <c r="G10" i="33"/>
  <c r="G22" i="33"/>
  <c r="G37" i="33"/>
  <c r="G36" i="33"/>
  <c r="G35" i="33"/>
  <c r="G4" i="33"/>
  <c r="G23" i="33"/>
  <c r="G14" i="33"/>
  <c r="G12" i="33"/>
  <c r="G41" i="33"/>
  <c r="G39" i="33"/>
  <c r="C2" i="33"/>
  <c r="G2" i="33" s="1"/>
  <c r="G17" i="33"/>
  <c r="G11" i="33"/>
  <c r="G16" i="33"/>
  <c r="G9" i="33"/>
  <c r="G38" i="33"/>
  <c r="G33" i="33"/>
  <c r="G8" i="33"/>
  <c r="G40" i="33"/>
  <c r="G34" i="33"/>
  <c r="G19" i="33"/>
  <c r="G26" i="33"/>
  <c r="G21" i="33"/>
  <c r="G30" i="33"/>
  <c r="G3" i="33"/>
  <c r="G5" i="33"/>
  <c r="G28" i="33"/>
  <c r="G18" i="33"/>
  <c r="G42" i="33"/>
  <c r="G7" i="33"/>
  <c r="G13" i="33"/>
  <c r="G15" i="33"/>
  <c r="G32" i="33"/>
  <c r="G25" i="33"/>
  <c r="G21" i="25"/>
  <c r="G8" i="25"/>
  <c r="K11" i="57"/>
  <c r="S11" i="57"/>
  <c r="V11" i="57"/>
  <c r="L11" i="57"/>
  <c r="T11" i="57"/>
  <c r="U11" i="57"/>
  <c r="N11" i="57"/>
  <c r="W11" i="57"/>
  <c r="M11" i="57"/>
  <c r="P11" i="57"/>
  <c r="I11" i="57"/>
  <c r="Q11" i="57"/>
  <c r="J11" i="57"/>
  <c r="O11" i="57"/>
  <c r="R11" i="57"/>
  <c r="E11" i="57"/>
  <c r="F11" i="57"/>
  <c r="G11" i="57"/>
  <c r="D11" i="57"/>
  <c r="H11" i="57"/>
  <c r="C11" i="57"/>
  <c r="K10" i="57"/>
  <c r="S10" i="57"/>
  <c r="L10" i="57"/>
  <c r="T10" i="57"/>
  <c r="M10" i="57"/>
  <c r="U10" i="57"/>
  <c r="R10" i="57"/>
  <c r="N10" i="57"/>
  <c r="V10" i="57"/>
  <c r="O10" i="57"/>
  <c r="W10" i="57"/>
  <c r="I10" i="57"/>
  <c r="P10" i="57"/>
  <c r="Q10" i="57"/>
  <c r="J10" i="57"/>
  <c r="G10" i="57"/>
  <c r="F10" i="57"/>
  <c r="E10" i="57"/>
  <c r="H10" i="57"/>
  <c r="D10" i="57"/>
  <c r="C10" i="57"/>
  <c r="L9" i="57"/>
  <c r="T9" i="57"/>
  <c r="R9" i="57"/>
  <c r="M9" i="57"/>
  <c r="U9" i="57"/>
  <c r="S9" i="57"/>
  <c r="N9" i="57"/>
  <c r="V9" i="57"/>
  <c r="J9" i="57"/>
  <c r="O9" i="57"/>
  <c r="W9" i="57"/>
  <c r="Q9" i="57"/>
  <c r="H9" i="57"/>
  <c r="P9" i="57"/>
  <c r="I9" i="57"/>
  <c r="K9" i="57"/>
  <c r="G9" i="57"/>
  <c r="D9" i="57"/>
  <c r="E9" i="57"/>
  <c r="F9" i="57"/>
  <c r="C9" i="57"/>
  <c r="L8" i="57"/>
  <c r="N8" i="57"/>
  <c r="V8" i="57"/>
  <c r="H8" i="57"/>
  <c r="M8" i="57"/>
  <c r="O8" i="57"/>
  <c r="W8" i="57"/>
  <c r="P8" i="57"/>
  <c r="U8" i="57"/>
  <c r="I8" i="57"/>
  <c r="Q8" i="57"/>
  <c r="K8" i="57"/>
  <c r="J8" i="57"/>
  <c r="R8" i="57"/>
  <c r="S8" i="57"/>
  <c r="T8" i="57"/>
  <c r="G8" i="57"/>
  <c r="E8" i="57"/>
  <c r="D8" i="57"/>
  <c r="F8" i="57"/>
  <c r="C8" i="57"/>
  <c r="L3" i="57"/>
  <c r="U6" i="57"/>
  <c r="P3" i="57"/>
  <c r="M3" i="57"/>
  <c r="M7" i="57"/>
  <c r="H4" i="57"/>
  <c r="L6" i="57"/>
  <c r="N6" i="57"/>
  <c r="O7" i="57"/>
  <c r="I4" i="57"/>
  <c r="J3" i="57"/>
  <c r="J7" i="57"/>
  <c r="K6" i="57"/>
  <c r="F4" i="57"/>
  <c r="F3" i="57"/>
  <c r="G4" i="57"/>
  <c r="S7" i="57"/>
  <c r="D6" i="57"/>
  <c r="G5" i="57"/>
  <c r="D5" i="57"/>
  <c r="W7" i="57"/>
  <c r="I7" i="57"/>
  <c r="E4" i="57"/>
  <c r="V5" i="57"/>
  <c r="R6" i="57"/>
  <c r="F5" i="57"/>
  <c r="U3" i="57"/>
  <c r="U7" i="57"/>
  <c r="H5" i="57"/>
  <c r="L7" i="57"/>
  <c r="V6" i="57"/>
  <c r="H3" i="57"/>
  <c r="Q4" i="57"/>
  <c r="R3" i="57"/>
  <c r="R7" i="57"/>
  <c r="S6" i="57"/>
  <c r="F6" i="57"/>
  <c r="E7" i="57"/>
  <c r="S3" i="57"/>
  <c r="D7" i="57"/>
  <c r="L5" i="57"/>
  <c r="O5" i="57"/>
  <c r="K5" i="57"/>
  <c r="F7" i="57"/>
  <c r="T5" i="57"/>
  <c r="S5" i="57"/>
  <c r="M4" i="57"/>
  <c r="W3" i="57"/>
  <c r="P6" i="57"/>
  <c r="N3" i="57"/>
  <c r="N7" i="57"/>
  <c r="P4" i="57"/>
  <c r="I5" i="57"/>
  <c r="J4" i="57"/>
  <c r="K3" i="57"/>
  <c r="K7" i="57"/>
  <c r="G7" i="57"/>
  <c r="E5" i="57"/>
  <c r="U4" i="57"/>
  <c r="W4" i="57"/>
  <c r="P7" i="57"/>
  <c r="V3" i="57"/>
  <c r="V7" i="57"/>
  <c r="P5" i="57"/>
  <c r="Q5" i="57"/>
  <c r="R4" i="57"/>
  <c r="E3" i="57"/>
  <c r="A2" i="57"/>
  <c r="M6" i="57"/>
  <c r="J6" i="57"/>
  <c r="O6" i="57"/>
  <c r="Q7" i="57"/>
  <c r="M5" i="57"/>
  <c r="W5" i="57"/>
  <c r="T3" i="57"/>
  <c r="N4" i="57"/>
  <c r="O3" i="57"/>
  <c r="H6" i="57"/>
  <c r="I6" i="57"/>
  <c r="J5" i="57"/>
  <c r="K4" i="57"/>
  <c r="T7" i="57"/>
  <c r="U5" i="57"/>
  <c r="W6" i="57"/>
  <c r="T4" i="57"/>
  <c r="V4" i="57"/>
  <c r="O4" i="57"/>
  <c r="H7" i="57"/>
  <c r="Q6" i="57"/>
  <c r="R5" i="57"/>
  <c r="S4" i="57"/>
  <c r="T6" i="57"/>
  <c r="E6" i="57"/>
  <c r="G3" i="57"/>
  <c r="D3" i="57"/>
  <c r="N5" i="57"/>
  <c r="I3" i="57"/>
  <c r="L4" i="57"/>
  <c r="D4" i="57"/>
  <c r="Q3" i="57"/>
  <c r="G6" i="57"/>
  <c r="C5" i="57"/>
  <c r="C7" i="57"/>
  <c r="C6" i="57"/>
  <c r="C4" i="57"/>
  <c r="C3" i="57"/>
  <c r="F8" i="33"/>
  <c r="F4" i="33"/>
  <c r="F15" i="33"/>
  <c r="F42" i="33"/>
  <c r="F36" i="33"/>
  <c r="F5" i="33"/>
  <c r="F21" i="33"/>
  <c r="F39" i="33"/>
  <c r="F25" i="33"/>
  <c r="F2" i="33"/>
  <c r="F9" i="33"/>
  <c r="F16" i="33"/>
  <c r="F13" i="33"/>
  <c r="F38" i="33"/>
  <c r="F41" i="33"/>
  <c r="F12" i="33"/>
  <c r="F20" i="33"/>
  <c r="F17" i="33"/>
  <c r="F24" i="33"/>
  <c r="F23" i="33"/>
  <c r="F19" i="33"/>
  <c r="F18" i="33"/>
  <c r="F31" i="33"/>
  <c r="F29" i="33"/>
  <c r="F37" i="33"/>
  <c r="F10" i="33"/>
  <c r="F6" i="33"/>
  <c r="F30" i="33"/>
  <c r="F28" i="33"/>
  <c r="F14" i="33"/>
  <c r="F7" i="33"/>
  <c r="F35" i="33"/>
  <c r="F33" i="33"/>
  <c r="F40" i="33"/>
  <c r="F22" i="33"/>
  <c r="F11" i="33"/>
  <c r="F34" i="33"/>
  <c r="F32" i="33"/>
  <c r="F26" i="33"/>
  <c r="F27" i="33"/>
  <c r="F3" i="33"/>
  <c r="B5" i="34"/>
  <c r="B20" i="34"/>
  <c r="B14" i="34"/>
  <c r="B12" i="34"/>
  <c r="B17" i="34"/>
  <c r="B21" i="34"/>
  <c r="B10" i="34"/>
  <c r="B13" i="34"/>
  <c r="B8" i="34"/>
  <c r="B7" i="34"/>
  <c r="B11" i="34"/>
  <c r="B9" i="34"/>
  <c r="B18" i="34"/>
  <c r="B19" i="34"/>
  <c r="B15" i="34"/>
  <c r="B16" i="34"/>
  <c r="N22" i="34"/>
  <c r="P4" i="34"/>
  <c r="O4" i="34"/>
  <c r="I4" i="34"/>
  <c r="S4" i="34"/>
  <c r="K4" i="34"/>
  <c r="H4" i="34"/>
  <c r="C4" i="34"/>
  <c r="D4" i="34"/>
  <c r="U4" i="34"/>
  <c r="V4" i="34"/>
  <c r="M4" i="34"/>
  <c r="C10" i="34"/>
  <c r="Q4" i="34"/>
  <c r="N4" i="34"/>
  <c r="C20" i="34"/>
  <c r="L4" i="34"/>
  <c r="E4" i="34"/>
  <c r="C21" i="34"/>
  <c r="C14" i="34"/>
  <c r="R4" i="34"/>
  <c r="J4" i="34"/>
  <c r="C12" i="34"/>
  <c r="C11" i="34"/>
  <c r="G4" i="34"/>
  <c r="C9" i="34"/>
  <c r="C18" i="34"/>
  <c r="C15" i="34"/>
  <c r="T4" i="34"/>
  <c r="F4" i="34"/>
  <c r="C19" i="34"/>
  <c r="C17" i="34"/>
  <c r="D5" i="34"/>
  <c r="C16" i="34"/>
  <c r="S15" i="34"/>
  <c r="N7" i="34"/>
  <c r="D8" i="34"/>
  <c r="D15" i="34"/>
  <c r="D19" i="34"/>
  <c r="D12" i="34"/>
  <c r="D16" i="34"/>
  <c r="D17" i="34"/>
  <c r="D20" i="34"/>
  <c r="C13" i="34"/>
  <c r="D13" i="34"/>
  <c r="D10" i="34"/>
  <c r="C5" i="34"/>
  <c r="T19" i="34"/>
  <c r="D3" i="34"/>
  <c r="D18" i="34"/>
  <c r="D14" i="34"/>
  <c r="D11" i="34"/>
  <c r="J21" i="34"/>
  <c r="D9" i="34"/>
  <c r="D6" i="34"/>
  <c r="I19" i="34"/>
  <c r="J18" i="34"/>
  <c r="D21" i="34"/>
  <c r="C7" i="34"/>
  <c r="G16" i="34"/>
  <c r="G13" i="34"/>
  <c r="H20" i="34"/>
  <c r="M11" i="34"/>
  <c r="I14" i="34"/>
  <c r="K20" i="34"/>
  <c r="N20" i="34"/>
  <c r="J11" i="34"/>
  <c r="M21" i="34"/>
  <c r="T13" i="34"/>
  <c r="R21" i="34"/>
  <c r="K16" i="34"/>
  <c r="S10" i="34"/>
  <c r="Q15" i="34"/>
  <c r="I21" i="34"/>
  <c r="N9" i="34"/>
  <c r="H12" i="34"/>
  <c r="V20" i="34"/>
  <c r="O21" i="34"/>
  <c r="T8" i="34"/>
  <c r="Q11" i="34"/>
  <c r="U12" i="34"/>
  <c r="R11" i="34"/>
  <c r="K5" i="34"/>
  <c r="I6" i="34"/>
  <c r="G21" i="34"/>
  <c r="S9" i="34"/>
  <c r="I8" i="34"/>
  <c r="T20" i="34"/>
  <c r="E5" i="34"/>
  <c r="K10" i="34"/>
  <c r="F6" i="34"/>
  <c r="O7" i="34"/>
  <c r="O18" i="34"/>
  <c r="M9" i="34"/>
  <c r="L7" i="34"/>
  <c r="G6" i="34"/>
  <c r="K13" i="34"/>
  <c r="O12" i="34"/>
  <c r="S12" i="34"/>
  <c r="N19" i="34"/>
  <c r="J17" i="34"/>
  <c r="V12" i="34"/>
  <c r="Q6" i="34"/>
  <c r="P12" i="34"/>
  <c r="F12" i="34"/>
  <c r="I12" i="34"/>
  <c r="Q14" i="34"/>
  <c r="U13" i="34"/>
  <c r="J9" i="34"/>
  <c r="R20" i="34"/>
  <c r="P14" i="34"/>
  <c r="G8" i="34"/>
  <c r="R13" i="34"/>
  <c r="T14" i="34"/>
  <c r="O15" i="34"/>
  <c r="L15" i="34"/>
  <c r="O13" i="34"/>
  <c r="I7" i="34"/>
  <c r="Q21" i="34"/>
  <c r="N16" i="34"/>
  <c r="S18" i="34"/>
  <c r="H13" i="34"/>
  <c r="G11" i="34"/>
  <c r="H5" i="34"/>
  <c r="G10" i="34"/>
  <c r="H7" i="34"/>
  <c r="N11" i="34"/>
  <c r="G9" i="34"/>
  <c r="Q17" i="34"/>
  <c r="E10" i="34"/>
  <c r="J8" i="34"/>
  <c r="S16" i="34"/>
  <c r="I9" i="34"/>
  <c r="R5" i="34"/>
  <c r="P16" i="34"/>
  <c r="G7" i="34"/>
  <c r="L13" i="34"/>
  <c r="E6" i="34"/>
  <c r="U11" i="34"/>
  <c r="V18" i="34"/>
  <c r="O6" i="34"/>
  <c r="K21" i="34"/>
  <c r="E15" i="34"/>
  <c r="N14" i="34"/>
  <c r="K6" i="34"/>
  <c r="V21" i="34"/>
  <c r="U21" i="34"/>
  <c r="J15" i="34"/>
  <c r="P15" i="34"/>
  <c r="O17" i="34"/>
  <c r="U19" i="34"/>
  <c r="E21" i="34"/>
  <c r="L10" i="34"/>
  <c r="F14" i="34"/>
  <c r="R19" i="34"/>
  <c r="T17" i="34"/>
  <c r="O20" i="34"/>
  <c r="V5" i="34"/>
  <c r="F16" i="34"/>
  <c r="P19" i="34"/>
  <c r="M7" i="34"/>
  <c r="M12" i="34"/>
  <c r="O16" i="34"/>
  <c r="I13" i="34"/>
  <c r="E7" i="34"/>
  <c r="N10" i="34"/>
  <c r="J14" i="34"/>
  <c r="E11" i="34"/>
  <c r="O8" i="34"/>
  <c r="I16" i="34"/>
  <c r="R7" i="34"/>
  <c r="V10" i="34"/>
  <c r="K19" i="34"/>
  <c r="M5" i="34"/>
  <c r="P9" i="34"/>
  <c r="Q8" i="34"/>
  <c r="M17" i="34"/>
  <c r="T15" i="34"/>
  <c r="S13" i="34"/>
  <c r="V11" i="34"/>
  <c r="O9" i="34"/>
  <c r="F7" i="34"/>
  <c r="S6" i="34"/>
  <c r="U5" i="34"/>
  <c r="V8" i="34"/>
  <c r="K12" i="34"/>
  <c r="G20" i="34"/>
  <c r="V16" i="34"/>
  <c r="I18" i="34"/>
  <c r="I15" i="34"/>
  <c r="S11" i="34"/>
  <c r="G18" i="34"/>
  <c r="L18" i="34"/>
  <c r="J13" i="34"/>
  <c r="M13" i="34"/>
  <c r="J10" i="34"/>
  <c r="Q20" i="34"/>
  <c r="H15" i="34"/>
  <c r="H19" i="34"/>
  <c r="H21" i="34"/>
  <c r="L21" i="34"/>
  <c r="I20" i="34"/>
  <c r="N6" i="34"/>
  <c r="P13" i="34"/>
  <c r="F20" i="34"/>
  <c r="F21" i="34"/>
  <c r="S21" i="34"/>
  <c r="V9" i="34"/>
  <c r="O11" i="34"/>
  <c r="H17" i="34"/>
  <c r="H16" i="34"/>
  <c r="L20" i="34"/>
  <c r="M8" i="34"/>
  <c r="R18" i="34"/>
  <c r="P17" i="34"/>
  <c r="N17" i="34"/>
  <c r="T11" i="34"/>
  <c r="K7" i="34"/>
  <c r="P21" i="34"/>
  <c r="M10" i="34"/>
  <c r="C6" i="34"/>
  <c r="L19" i="34"/>
  <c r="N5" i="34"/>
  <c r="H11" i="34"/>
  <c r="K14" i="34"/>
  <c r="V13" i="34"/>
  <c r="F17" i="34"/>
  <c r="R9" i="34"/>
  <c r="Q9" i="34"/>
  <c r="J6" i="34"/>
  <c r="Q16" i="34"/>
  <c r="E17" i="34"/>
  <c r="T18" i="34"/>
  <c r="H18" i="34"/>
  <c r="E13" i="34"/>
  <c r="K11" i="34"/>
  <c r="E8" i="34"/>
  <c r="E19" i="34"/>
  <c r="V6" i="34"/>
  <c r="Q5" i="34"/>
  <c r="R6" i="34"/>
  <c r="L9" i="34"/>
  <c r="F11" i="34"/>
  <c r="S19" i="34"/>
  <c r="K17" i="34"/>
  <c r="U17" i="34"/>
  <c r="S7" i="34"/>
  <c r="I5" i="34"/>
  <c r="R17" i="34"/>
  <c r="E18" i="34"/>
  <c r="E14" i="34"/>
  <c r="R14" i="34"/>
  <c r="I17" i="34"/>
  <c r="O5" i="34"/>
  <c r="G12" i="34"/>
  <c r="Q19" i="34"/>
  <c r="Q18" i="34"/>
  <c r="F18" i="34"/>
  <c r="G15" i="34"/>
  <c r="M20" i="34"/>
  <c r="K18" i="34"/>
  <c r="V19" i="34"/>
  <c r="P8" i="34"/>
  <c r="E20" i="34"/>
  <c r="R15" i="34"/>
  <c r="J19" i="34"/>
  <c r="N8" i="34"/>
  <c r="Q10" i="34"/>
  <c r="U10" i="34"/>
  <c r="T21" i="34"/>
  <c r="H9" i="34"/>
  <c r="F9" i="34"/>
  <c r="V7" i="34"/>
  <c r="M15" i="34"/>
  <c r="Q12" i="34"/>
  <c r="U9" i="34"/>
  <c r="T5" i="34"/>
  <c r="N18" i="34"/>
  <c r="N15" i="34"/>
  <c r="R10" i="34"/>
  <c r="P7" i="34"/>
  <c r="E9" i="34"/>
  <c r="U15" i="34"/>
  <c r="S8" i="34"/>
  <c r="T7" i="34"/>
  <c r="O14" i="34"/>
  <c r="J20" i="34"/>
  <c r="P10" i="34"/>
  <c r="M18" i="34"/>
  <c r="F15" i="34"/>
  <c r="P5" i="34"/>
  <c r="U16" i="34"/>
  <c r="O19" i="34"/>
  <c r="M6" i="34"/>
  <c r="R12" i="34"/>
  <c r="F5" i="34"/>
  <c r="E12" i="34"/>
  <c r="T9" i="34"/>
  <c r="L6" i="34"/>
  <c r="G5" i="34"/>
  <c r="V17" i="34"/>
  <c r="K15" i="34"/>
  <c r="U18" i="34"/>
  <c r="G17" i="34"/>
  <c r="E16" i="34"/>
  <c r="L12" i="34"/>
  <c r="U6" i="34"/>
  <c r="G19" i="34"/>
  <c r="M16" i="34"/>
  <c r="V14" i="34"/>
  <c r="P20" i="34"/>
  <c r="T12" i="34"/>
  <c r="N21" i="34"/>
  <c r="H10" i="34"/>
  <c r="H6" i="34"/>
  <c r="Q13" i="34"/>
  <c r="J12" i="34"/>
  <c r="M14" i="34"/>
  <c r="S5" i="34"/>
  <c r="U20" i="34"/>
  <c r="P6" i="34"/>
  <c r="S14" i="34"/>
  <c r="F13" i="34"/>
  <c r="H8" i="34"/>
  <c r="L8" i="34"/>
  <c r="L11" i="34"/>
  <c r="I11" i="34"/>
  <c r="J5" i="34"/>
  <c r="U14" i="34"/>
  <c r="J7" i="34"/>
  <c r="S17" i="34"/>
  <c r="K8" i="34"/>
  <c r="T16" i="34"/>
  <c r="M19" i="34"/>
  <c r="N12" i="34"/>
  <c r="P18" i="34"/>
  <c r="U7" i="34"/>
  <c r="F8" i="34"/>
  <c r="H14" i="34"/>
  <c r="J16" i="34"/>
  <c r="P11" i="34"/>
  <c r="S20" i="34"/>
  <c r="N13" i="34"/>
  <c r="T6" i="34"/>
  <c r="D7" i="34"/>
  <c r="O10" i="34"/>
  <c r="I10" i="34"/>
  <c r="G14" i="34"/>
  <c r="V15" i="34"/>
  <c r="Q7" i="34"/>
  <c r="F19" i="34"/>
  <c r="R8" i="34"/>
  <c r="K9" i="34"/>
  <c r="L5" i="34"/>
  <c r="R16" i="34"/>
  <c r="F10" i="34"/>
  <c r="U8" i="34"/>
  <c r="L14" i="34"/>
  <c r="T10" i="34"/>
  <c r="L17" i="34"/>
  <c r="I22" i="34"/>
  <c r="C8" i="34"/>
  <c r="E3" i="34"/>
  <c r="H22" i="34"/>
  <c r="R22" i="34"/>
  <c r="M22" i="34"/>
  <c r="L22" i="34"/>
  <c r="S3" i="34"/>
  <c r="I3" i="34"/>
  <c r="F3" i="34"/>
  <c r="G3" i="34"/>
  <c r="T3" i="34"/>
  <c r="P3" i="34"/>
  <c r="J3" i="34"/>
  <c r="H3" i="34"/>
  <c r="L3" i="34"/>
  <c r="C3" i="34"/>
  <c r="N3" i="34"/>
  <c r="O3" i="34"/>
  <c r="V3" i="34"/>
  <c r="K3" i="34"/>
  <c r="M3" i="34"/>
  <c r="L16" i="34"/>
  <c r="Q22" i="34"/>
  <c r="G22" i="34"/>
  <c r="D22" i="34"/>
  <c r="B22" i="34"/>
  <c r="F22" i="34"/>
  <c r="E22" i="34"/>
  <c r="S22" i="34"/>
  <c r="K22" i="34"/>
  <c r="U22" i="34"/>
  <c r="J22" i="34"/>
  <c r="T22" i="34"/>
  <c r="U3" i="34"/>
  <c r="P22" i="34"/>
  <c r="O22" i="34"/>
  <c r="Q3" i="34"/>
  <c r="R3" i="34"/>
  <c r="G4" i="25"/>
  <c r="A4" i="25" l="1"/>
  <c r="A29" i="57" l="1" a="1"/>
  <c r="L32" i="57" l="1"/>
  <c r="T32" i="57"/>
  <c r="S32" i="57"/>
  <c r="M32" i="57"/>
  <c r="U32" i="57"/>
  <c r="N32" i="57"/>
  <c r="V32" i="57"/>
  <c r="O32" i="57"/>
  <c r="W32" i="57"/>
  <c r="H32" i="57"/>
  <c r="P32" i="57"/>
  <c r="I32" i="57"/>
  <c r="Q32" i="57"/>
  <c r="J32" i="57"/>
  <c r="R32" i="57"/>
  <c r="K32" i="57"/>
  <c r="F32" i="57"/>
  <c r="G32" i="57"/>
  <c r="D32" i="57"/>
  <c r="E32" i="57"/>
  <c r="C32" i="57"/>
  <c r="L31" i="57"/>
  <c r="N31" i="57"/>
  <c r="V31" i="57"/>
  <c r="O31" i="57"/>
  <c r="W31" i="57"/>
  <c r="H31" i="57"/>
  <c r="P31" i="57"/>
  <c r="T31" i="57"/>
  <c r="U31" i="57"/>
  <c r="I31" i="57"/>
  <c r="Q31" i="57"/>
  <c r="J31" i="57"/>
  <c r="R31" i="57"/>
  <c r="S31" i="57"/>
  <c r="M31" i="57"/>
  <c r="K31" i="57"/>
  <c r="E31" i="57"/>
  <c r="G31" i="57"/>
  <c r="F31" i="57"/>
  <c r="D31" i="57"/>
  <c r="C31" i="57"/>
  <c r="I30" i="57"/>
  <c r="Q30" i="57"/>
  <c r="J30" i="57"/>
  <c r="R30" i="57"/>
  <c r="K30" i="57"/>
  <c r="S30" i="57"/>
  <c r="N30" i="57"/>
  <c r="O30" i="57"/>
  <c r="H30" i="57"/>
  <c r="L30" i="57"/>
  <c r="T30" i="57"/>
  <c r="M30" i="57"/>
  <c r="U30" i="57"/>
  <c r="V30" i="57"/>
  <c r="W30" i="57"/>
  <c r="P30" i="57"/>
  <c r="F30" i="57"/>
  <c r="E30" i="57"/>
  <c r="G30" i="57"/>
  <c r="D30" i="57"/>
  <c r="C30" i="57"/>
  <c r="A29" i="57"/>
  <c r="C25" i="57" l="1"/>
  <c r="C22" i="57"/>
  <c r="C23" i="57"/>
  <c r="C24" i="57"/>
  <c r="C26" i="57"/>
  <c r="C27" i="57"/>
  <c r="E22" i="57"/>
  <c r="F22" i="57"/>
  <c r="O22" i="57"/>
  <c r="W22" i="57"/>
  <c r="K25" i="57"/>
  <c r="S25" i="57"/>
  <c r="G26" i="57"/>
  <c r="O26" i="57"/>
  <c r="W26" i="57"/>
  <c r="K27" i="57"/>
  <c r="S27" i="57"/>
  <c r="P22" i="57"/>
  <c r="D25" i="57"/>
  <c r="L25" i="57"/>
  <c r="T25" i="57"/>
  <c r="H26" i="57"/>
  <c r="P26" i="57"/>
  <c r="D27" i="57"/>
  <c r="L27" i="57"/>
  <c r="T27" i="57"/>
  <c r="P25" i="57"/>
  <c r="N26" i="57"/>
  <c r="I22" i="57"/>
  <c r="Q22" i="57"/>
  <c r="E25" i="57"/>
  <c r="M25" i="57"/>
  <c r="U25" i="57"/>
  <c r="I26" i="57"/>
  <c r="Q26" i="57"/>
  <c r="E27" i="57"/>
  <c r="M27" i="57"/>
  <c r="U27" i="57"/>
  <c r="L26" i="57"/>
  <c r="V26" i="57"/>
  <c r="J22" i="57"/>
  <c r="R22" i="57"/>
  <c r="F25" i="57"/>
  <c r="N25" i="57"/>
  <c r="V25" i="57"/>
  <c r="J26" i="57"/>
  <c r="R26" i="57"/>
  <c r="F27" i="57"/>
  <c r="N27" i="57"/>
  <c r="V27" i="57"/>
  <c r="T22" i="57"/>
  <c r="D26" i="57"/>
  <c r="P27" i="57"/>
  <c r="J27" i="57"/>
  <c r="K22" i="57"/>
  <c r="S22" i="57"/>
  <c r="G25" i="57"/>
  <c r="O25" i="57"/>
  <c r="W25" i="57"/>
  <c r="K26" i="57"/>
  <c r="S26" i="57"/>
  <c r="G27" i="57"/>
  <c r="O27" i="57"/>
  <c r="W27" i="57"/>
  <c r="L22" i="57"/>
  <c r="H25" i="57"/>
  <c r="T26" i="57"/>
  <c r="R27" i="57"/>
  <c r="H27" i="57"/>
  <c r="M22" i="57"/>
  <c r="U22" i="57"/>
  <c r="I25" i="57"/>
  <c r="Q25" i="57"/>
  <c r="E26" i="57"/>
  <c r="M26" i="57"/>
  <c r="U26" i="57"/>
  <c r="I27" i="57"/>
  <c r="Q27" i="57"/>
  <c r="N22" i="57"/>
  <c r="V22" i="57"/>
  <c r="J25" i="57"/>
  <c r="R25" i="57"/>
  <c r="F26" i="57"/>
  <c r="D22" i="57"/>
  <c r="G22" i="57"/>
  <c r="H22" i="57"/>
  <c r="I29" i="57"/>
  <c r="I16" i="57" s="1"/>
  <c r="Q29" i="57"/>
  <c r="Q16" i="57" s="1"/>
  <c r="J29" i="57"/>
  <c r="J16" i="57" s="1"/>
  <c r="R29" i="57"/>
  <c r="R16" i="57" s="1"/>
  <c r="H29" i="57"/>
  <c r="H19" i="57" s="1"/>
  <c r="K29" i="57"/>
  <c r="K16" i="57" s="1"/>
  <c r="S29" i="57"/>
  <c r="S16" i="57" s="1"/>
  <c r="V29" i="57"/>
  <c r="V16" i="57" s="1"/>
  <c r="W29" i="57"/>
  <c r="W16" i="57" s="1"/>
  <c r="L29" i="57"/>
  <c r="L16" i="57" s="1"/>
  <c r="T29" i="57"/>
  <c r="T16" i="57" s="1"/>
  <c r="N29" i="57"/>
  <c r="N16" i="57" s="1"/>
  <c r="O29" i="57"/>
  <c r="O16" i="57" s="1"/>
  <c r="M29" i="57"/>
  <c r="M16" i="57" s="1"/>
  <c r="U29" i="57"/>
  <c r="U16" i="57" s="1"/>
  <c r="P29" i="57"/>
  <c r="P16" i="57" s="1"/>
  <c r="G29" i="57"/>
  <c r="G19" i="57" s="1"/>
  <c r="D29" i="57"/>
  <c r="D19" i="57" s="1"/>
  <c r="E29" i="57"/>
  <c r="E23" i="57" s="1"/>
  <c r="F29" i="57"/>
  <c r="F19" i="57" s="1"/>
  <c r="C29" i="57"/>
  <c r="C19" i="57" s="1"/>
  <c r="Q19" i="57" l="1"/>
  <c r="I19" i="57"/>
  <c r="E19" i="57"/>
  <c r="P19" i="57"/>
  <c r="W19" i="57"/>
  <c r="C21" i="57"/>
  <c r="L20" i="57"/>
  <c r="J20" i="57"/>
  <c r="K20" i="57"/>
  <c r="D20" i="57"/>
  <c r="R20" i="57"/>
  <c r="Q20" i="57"/>
  <c r="I20" i="57"/>
  <c r="W20" i="57"/>
  <c r="U20" i="57"/>
  <c r="T20" i="57"/>
  <c r="P20" i="57"/>
  <c r="O20" i="57"/>
  <c r="M20" i="57"/>
  <c r="F20" i="57"/>
  <c r="H20" i="57"/>
  <c r="S20" i="57"/>
  <c r="G20" i="57"/>
  <c r="V20" i="57"/>
  <c r="E20" i="57"/>
  <c r="N20" i="57"/>
  <c r="C20" i="57"/>
  <c r="I17" i="57"/>
  <c r="V17" i="57"/>
  <c r="G17" i="57"/>
  <c r="S17" i="57"/>
  <c r="N17" i="57"/>
  <c r="R17" i="57"/>
  <c r="C17" i="57"/>
  <c r="H17" i="57"/>
  <c r="P17" i="57"/>
  <c r="U17" i="57"/>
  <c r="J17" i="57"/>
  <c r="W17" i="57"/>
  <c r="F17" i="57"/>
  <c r="M17" i="57"/>
  <c r="T17" i="57"/>
  <c r="E17" i="57"/>
  <c r="Q17" i="57"/>
  <c r="L17" i="57"/>
  <c r="K17" i="57"/>
  <c r="D17" i="57"/>
  <c r="O17" i="57"/>
  <c r="V24" i="57"/>
  <c r="O24" i="57"/>
  <c r="P24" i="57"/>
  <c r="I24" i="57"/>
  <c r="R24" i="57"/>
  <c r="W24" i="57"/>
  <c r="N24" i="57"/>
  <c r="J24" i="57"/>
  <c r="U24" i="57"/>
  <c r="S24" i="57"/>
  <c r="F24" i="57"/>
  <c r="M24" i="57"/>
  <c r="T24" i="57"/>
  <c r="K24" i="57"/>
  <c r="L24" i="57"/>
  <c r="H24" i="57"/>
  <c r="G24" i="57"/>
  <c r="D24" i="57"/>
  <c r="Q24" i="57"/>
  <c r="E24" i="57"/>
  <c r="O23" i="57"/>
  <c r="V23" i="57"/>
  <c r="J23" i="57"/>
  <c r="F23" i="57"/>
  <c r="U23" i="57"/>
  <c r="L23" i="57"/>
  <c r="M23" i="57"/>
  <c r="D23" i="57"/>
  <c r="Q23" i="57"/>
  <c r="S23" i="57"/>
  <c r="I23" i="57"/>
  <c r="H23" i="57"/>
  <c r="K23" i="57"/>
  <c r="W23" i="57"/>
  <c r="G23" i="57"/>
  <c r="R23" i="57"/>
  <c r="P23" i="57"/>
  <c r="N23" i="57"/>
  <c r="T23" i="57"/>
  <c r="J19" i="57"/>
  <c r="V19" i="57"/>
  <c r="U19" i="57"/>
  <c r="S19" i="57"/>
  <c r="N19" i="57"/>
  <c r="M19" i="57"/>
  <c r="K19" i="57"/>
  <c r="O19" i="57"/>
  <c r="T19" i="57"/>
  <c r="R19" i="57"/>
  <c r="L19" i="57"/>
  <c r="J21" i="57"/>
  <c r="T21" i="57"/>
  <c r="I21" i="57"/>
  <c r="R21" i="57"/>
  <c r="S21" i="57"/>
  <c r="U21" i="57"/>
  <c r="L21" i="57"/>
  <c r="M21" i="57"/>
  <c r="P21" i="57"/>
  <c r="V21" i="57"/>
  <c r="K21" i="57"/>
  <c r="W21" i="57"/>
  <c r="N21" i="57"/>
  <c r="Q21" i="57"/>
  <c r="O21" i="57"/>
  <c r="P18" i="57"/>
  <c r="V18" i="57"/>
  <c r="U18" i="57"/>
  <c r="L18" i="57"/>
  <c r="S18" i="57"/>
  <c r="K18" i="57"/>
  <c r="R18" i="57"/>
  <c r="J18" i="57"/>
  <c r="Q18" i="57"/>
  <c r="I18" i="57"/>
  <c r="W18" i="57"/>
  <c r="N18" i="57"/>
  <c r="M18" i="57"/>
  <c r="O18" i="57"/>
  <c r="T18" i="57"/>
  <c r="C18" i="57"/>
  <c r="C16" i="57"/>
  <c r="F16" i="57"/>
  <c r="F18" i="57"/>
  <c r="F21" i="57"/>
  <c r="E16" i="57"/>
  <c r="E18" i="57"/>
  <c r="E21" i="57"/>
  <c r="H21" i="57"/>
  <c r="H16" i="57"/>
  <c r="H18" i="57"/>
  <c r="D16" i="57"/>
  <c r="D18" i="57"/>
  <c r="D21" i="57"/>
  <c r="G16" i="57"/>
  <c r="G18" i="57"/>
  <c r="G21" i="5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<sst xmlns="http://schemas.openxmlformats.org/spreadsheetml/2006/main" count="960" uniqueCount="195">
  <si>
    <t>CLEAR ALL Checkmarks</t>
  </si>
  <si>
    <t>Chosen</t>
  </si>
  <si>
    <t>To Hide</t>
  </si>
  <si>
    <t>Input Metrics</t>
  </si>
  <si>
    <t>Output Metrics</t>
  </si>
  <si>
    <t>Teaching Hospitals</t>
  </si>
  <si>
    <t>Non-Teaching Hospitals</t>
  </si>
  <si>
    <t>CLEAR ALL</t>
  </si>
  <si>
    <t>Unselect All</t>
  </si>
  <si>
    <t>Select/Unselect All</t>
  </si>
  <si>
    <t>«</t>
  </si>
  <si>
    <t>Choose Inputs to DECREASE as a goal</t>
  </si>
  <si>
    <t>Choose Outputs to INCREASE as a goal</t>
  </si>
  <si>
    <t>NOTE:***When comparing hospitals, only pick ones that are either small, medium, or large. Do not mix the hospital sizes when comparing their efficiencies.</t>
  </si>
  <si>
    <t xml:space="preserve">Hospital Size </t>
  </si>
  <si>
    <t>Color</t>
  </si>
  <si>
    <t>Small</t>
  </si>
  <si>
    <t> </t>
  </si>
  <si>
    <t>Medium</t>
  </si>
  <si>
    <t xml:space="preserve">Large </t>
  </si>
  <si>
    <t>ORIGINAL METRICS</t>
  </si>
  <si>
    <t>TARGET METRICS</t>
  </si>
  <si>
    <t>BENCHMARKS</t>
  </si>
  <si>
    <t>Benchmark 1</t>
  </si>
  <si>
    <t>% Composition</t>
  </si>
  <si>
    <t>Benchmark 2</t>
  </si>
  <si>
    <t>Benchmark 3</t>
  </si>
  <si>
    <t>AG</t>
  </si>
  <si>
    <t>K</t>
  </si>
  <si>
    <t>G</t>
  </si>
  <si>
    <t>Lookup Output Metric(s) from Main Page</t>
  </si>
  <si>
    <t>Hospitals Chosen</t>
  </si>
  <si>
    <t>Lookup Input Metric(s) from Main Page</t>
  </si>
  <si>
    <t>Input</t>
  </si>
  <si>
    <t>Output</t>
  </si>
  <si>
    <t>Output/Input</t>
  </si>
  <si>
    <t>Hospital name</t>
  </si>
  <si>
    <t>Hospital</t>
  </si>
  <si>
    <t>N/A</t>
  </si>
  <si>
    <t>Enumeate</t>
  </si>
  <si>
    <t>Efficiencies</t>
  </si>
  <si>
    <t>Output-Input</t>
  </si>
  <si>
    <t>Surgical Cases</t>
  </si>
  <si>
    <t>Hip Fracture Cases</t>
  </si>
  <si>
    <t>Cost per Patient-day</t>
  </si>
  <si>
    <t>Total Surgical Inpatient Days</t>
  </si>
  <si>
    <t>Hospital ID</t>
  </si>
  <si>
    <t>Teaching 
Emphasis</t>
  </si>
  <si>
    <t>Death Rate</t>
  </si>
  <si>
    <t>Cardiac Arrest Rate</t>
  </si>
  <si>
    <t xml:space="preserve"> Post-Surgery AMI Rate</t>
  </si>
  <si>
    <t>Surgical Site Infections Rate</t>
  </si>
  <si>
    <t>Sepsis Rate</t>
  </si>
  <si>
    <t>C-Section 
Rate</t>
  </si>
  <si>
    <t>Total Medical Inpatient Days</t>
  </si>
  <si>
    <t>Medical 
ALC Days</t>
  </si>
  <si>
    <t>Surgical ALC Days</t>
  </si>
  <si>
    <t>Total Mental Health Inpatient Days</t>
  </si>
  <si>
    <t>Mental Health ALC Days</t>
  </si>
  <si>
    <t>Hip Fracture Cases with Surgery in 24h</t>
  </si>
  <si>
    <t>Median ED Delay (Hours)</t>
  </si>
  <si>
    <t>Actual Cases with ED delay &gt;= 2 Hours</t>
  </si>
  <si>
    <t>Actual Cases with ED delay &gt;=4 Hours</t>
  </si>
  <si>
    <t>A</t>
  </si>
  <si>
    <t>AA</t>
  </si>
  <si>
    <t/>
  </si>
  <si>
    <t>AB</t>
  </si>
  <si>
    <t>AC</t>
  </si>
  <si>
    <t>AD</t>
  </si>
  <si>
    <t>AE</t>
  </si>
  <si>
    <t>AF</t>
  </si>
  <si>
    <t>AH</t>
  </si>
  <si>
    <t>AI</t>
  </si>
  <si>
    <t>AJ</t>
  </si>
  <si>
    <t>AK</t>
  </si>
  <si>
    <t>B</t>
  </si>
  <si>
    <t>C</t>
  </si>
  <si>
    <t>D</t>
  </si>
  <si>
    <t>E</t>
  </si>
  <si>
    <t>F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</si>
  <si>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</si>
  <si>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</si>
  <si>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</si>
  <si>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</si>
  <si>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</si>
  <si>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</si>
  <si>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</si>
  <si>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</si>
  <si>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</si>
  <si>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</si>
  <si>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</si>
  <si>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</si>
  <si>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</si>
  <si>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</si>
  <si>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</si>
  <si>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</si>
  <si>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</si>
  <si>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</si>
  <si>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You are using the XLSTAT trial version. Number of days remaining until the trial expires: 10</t>
  </si>
  <si>
    <r>
      <t>XLSTAT 2023.1.2.1406 - Principal Component Analysis (PCA) - Start time: 04/03/2023 at 15:02:02 / End time: 04/03/2023 at 15:02:30</t>
    </r>
    <r>
      <rPr>
        <sz val="12"/>
        <color rgb="FFFFFFFF"/>
        <rFont val="Calibri"/>
        <family val="2"/>
        <scheme val="minor"/>
      </rPr>
      <t xml:space="preserve"> / Microsoft Excel 16.016130</t>
    </r>
  </si>
  <si>
    <t>Observations/variables table: Workbook = V2_Hospital DSS.xlsm / Sheet = ORG-Metrics / Range = 'ORG-Metrics'!$C$1:$U$38 / 37 rows and 19 columns</t>
  </si>
  <si>
    <t>Observation labels: Workbook = V2_Hospital DSS.xlsm / Sheet = ORG-Metrics / Range = 'ORG-Metrics'!$A$1:$A$38 / 37 rows and 1 column</t>
  </si>
  <si>
    <t>PCA type: Correlation</t>
  </si>
  <si>
    <t>Filter factors Maximum number = 5</t>
  </si>
  <si>
    <t>Standardisation: (n)</t>
  </si>
  <si>
    <t>Type of biplot: Distance biplot / Coefficient = Automatic</t>
  </si>
  <si>
    <t>Number of removed observations: 5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</si>
  <si>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</si>
  <si>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</si>
  <si>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</si>
  <si>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</si>
  <si>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</si>
  <si>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</si>
  <si>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</si>
  <si>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</si>
  <si>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</si>
  <si>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Post-Surgery AMI Rate</t>
  </si>
  <si>
    <t>Correlation matrix (Pearson (n)):</t>
  </si>
  <si>
    <t>Variables</t>
  </si>
  <si>
    <t>Values in bold are different from 0 with a significance level alpha=0.05</t>
  </si>
  <si>
    <t>Principal Component Analysis:</t>
  </si>
  <si>
    <t>Eigenvalues: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</si>
  <si>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</si>
  <si>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</si>
  <si>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</si>
  <si>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</si>
  <si>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</si>
  <si>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</si>
  <si>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</si>
  <si>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</si>
  <si>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</si>
  <si>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</si>
  <si>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</si>
  <si>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</si>
  <si>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</si>
  <si>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</si>
  <si>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</si>
  <si>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</si>
  <si>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</si>
  <si>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</si>
  <si>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</si>
  <si>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Eigenvalue</t>
  </si>
  <si>
    <t>Variability (%)</t>
  </si>
  <si>
    <t>Cumulative %</t>
  </si>
  <si>
    <t xml:space="preserve"> </t>
  </si>
  <si>
    <t>Eigenvectors:</t>
  </si>
  <si>
    <t>Factor loadings:</t>
  </si>
  <si>
    <t>Correlations between variables and factors:</t>
  </si>
  <si>
    <t>Contribution of the variables (%):</t>
  </si>
  <si>
    <t>Squared cosines of the variables:</t>
  </si>
  <si>
    <t>Values in bold correspond for each variable to the factor for which the squared cosine is the largest</t>
  </si>
  <si>
    <t>Factor scores:</t>
  </si>
  <si>
    <t>Contribution of the observations (%):</t>
  </si>
  <si>
    <t>Axes homogeneity index:</t>
  </si>
  <si>
    <t>Value</t>
  </si>
  <si>
    <t>Squared cosines of the observations:</t>
  </si>
  <si>
    <t>Values in bold correspond for each observation to the factor for which the squared cosine is the largest</t>
  </si>
  <si>
    <t>Teaching Emphasis</t>
  </si>
  <si>
    <t>C-Section Rate</t>
  </si>
  <si>
    <t>Input Metric(s)</t>
  </si>
  <si>
    <t>Output Metric(s)</t>
  </si>
  <si>
    <t>Metrics Definition</t>
  </si>
  <si>
    <t>Description</t>
  </si>
  <si>
    <t>Inputs</t>
  </si>
  <si>
    <t>Outputs</t>
  </si>
  <si>
    <t>Hospital identifer</t>
  </si>
  <si>
    <t>Percent of time doctors spend teaching</t>
  </si>
  <si>
    <t>Cost ($) per patient per day</t>
  </si>
  <si>
    <t>Number of surgical cases</t>
  </si>
  <si>
    <t>Percent of surgical cases resulting in death</t>
  </si>
  <si>
    <t>Percent of surgical cases resulting in cardiac arrest</t>
  </si>
  <si>
    <t>Percent of surgical cases resulting in acute myocardial infarc-
tion post-surgery</t>
  </si>
  <si>
    <t>Percent of surgical cases with surgical site infections</t>
  </si>
  <si>
    <t>Percent of surgical cases resulting in sepsis</t>
  </si>
  <si>
    <t>Percent of surgical cases that are Caesarean Sections</t>
  </si>
  <si>
    <t>Total number of medical ALC days</t>
  </si>
  <si>
    <t>Total number of surgical inpatient days</t>
  </si>
  <si>
    <t>Total number of surgical ALC days</t>
  </si>
  <si>
    <t>Total number of mental health inpatient days</t>
  </si>
  <si>
    <t>Total number of medical health ALC days</t>
  </si>
  <si>
    <t>Total number of hip fracture cases</t>
  </si>
  <si>
    <t>Number of hip fracture cases with surgery within 24 hours</t>
  </si>
  <si>
    <t>Median ED delay (hours)</t>
  </si>
  <si>
    <t>Number of cases with an ED delay of _x0015_ 2 hours</t>
  </si>
  <si>
    <t>Number of cases with an ED delay of _x0015_ 4 hours</t>
  </si>
  <si>
    <t>ID Number</t>
  </si>
  <si>
    <t>Teaching?</t>
  </si>
  <si>
    <t>Hospital Size based on Surgical Cases</t>
  </si>
  <si>
    <t>Large</t>
  </si>
  <si>
    <t>Patient Volume</t>
  </si>
  <si>
    <t xml:space="preserve">Size of the hospital </t>
  </si>
  <si>
    <t xml:space="preserve">Size of surgical cases per hospital </t>
  </si>
  <si>
    <t>Standard Deviation</t>
  </si>
  <si>
    <t>% Standard Deviation</t>
  </si>
  <si>
    <t xml:space="preserve">Metrics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</si>
</sst>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&quot;$&quot;#,##0"/>
    <numFmt numFmtId="167" formatCode="0.000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rgb="FF01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444444"/>
      <name val="Calibri"/>
      <family val="2"/>
    </font>
    <font>
      <sz val="12"/>
      <color rgb="FF00B050"/>
      <name val="Wingdings"/>
      <charset val="2"/>
    </font>
  </fonts>
  <fills count="2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FABF8F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9521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auto="1"/>
      </right>
      <top style="medium">
        <color rgb="FF000000"/>
      </top>
      <bottom/>
      <diagonal/>
    </border>
    <border>
      <left style="thin">
        <color auto="1"/>
      </left>
      <right style="thin">
        <color auto="1"/>
      </right>
      <top style="medium">
        <color rgb="FF000000"/>
      </top>
      <bottom/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17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29">
    <xf numFmtId="0" fontId="0" fillId="0" borderId="0" xfId="0"/>
    <xf numFmtId="0" fontId="2" fillId="0" borderId="1" xfId="0" applyFont="1" applyBorder="1"/>
    <xf numFmtId="3" fontId="2" fillId="0" borderId="1" xfId="0" applyNumberFormat="1" applyFont="1" applyBorder="1"/>
    <xf numFmtId="165" fontId="2" fillId="0" borderId="1" xfId="0" applyNumberFormat="1" applyFont="1" applyBorder="1"/>
    <xf numFmtId="4" fontId="2" fillId="0" borderId="1" xfId="0" applyNumberFormat="1" applyFont="1" applyBorder="1" applyAlignment="1">
      <alignment vertical="center"/>
    </xf>
    <xf numFmtId="4" fontId="2" fillId="0" borderId="1" xfId="0" applyNumberFormat="1" applyFont="1" applyBorder="1"/>
    <xf numFmtId="3" fontId="2" fillId="0" borderId="1" xfId="0" applyNumberFormat="1" applyFont="1" applyBorder="1" applyAlignment="1">
      <alignment vertical="center"/>
    </xf>
    <xf numFmtId="2" fontId="2" fillId="0" borderId="1" xfId="1" applyNumberFormat="1" applyFont="1" applyBorder="1"/>
    <xf numFmtId="166" fontId="2" fillId="0" borderId="1" xfId="0" applyNumberFormat="1" applyFont="1" applyBorder="1"/>
    <xf numFmtId="9" fontId="2" fillId="0" borderId="1" xfId="0" applyNumberFormat="1" applyFont="1" applyBorder="1"/>
    <xf numFmtId="0" fontId="0" fillId="3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2" borderId="2" xfId="0" applyFill="1" applyBorder="1" applyAlignment="1">
      <alignment horizontal="center" vertical="center"/>
    </xf>
    <xf numFmtId="0" fontId="0" fillId="3" borderId="3" xfId="0" applyFill="1" applyBorder="1"/>
    <xf numFmtId="0" fontId="0" fillId="0" borderId="5" xfId="0" applyBorder="1"/>
    <xf numFmtId="0" fontId="0" fillId="0" borderId="6" xfId="0" quotePrefix="1" applyBorder="1"/>
    <xf numFmtId="0" fontId="0" fillId="0" borderId="6" xfId="0" applyBorder="1" applyAlignment="1">
      <alignment horizontal="left" vertical="top"/>
    </xf>
    <xf numFmtId="0" fontId="0" fillId="0" borderId="6" xfId="0" applyBorder="1"/>
    <xf numFmtId="0" fontId="0" fillId="0" borderId="7" xfId="0" applyBorder="1"/>
    <xf numFmtId="0" fontId="0" fillId="4" borderId="0" xfId="0" applyFill="1"/>
    <xf numFmtId="164" fontId="0" fillId="0" borderId="0" xfId="1" applyFont="1"/>
    <xf numFmtId="2" fontId="0" fillId="0" borderId="0" xfId="0" applyNumberFormat="1"/>
    <xf numFmtId="0" fontId="2" fillId="2" borderId="8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2" fontId="0" fillId="0" borderId="0" xfId="1" applyNumberFormat="1" applyFont="1"/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6" fillId="10" borderId="19" xfId="0" applyFont="1" applyFill="1" applyBorder="1" applyAlignment="1">
      <alignment horizontal="center" vertical="center" wrapText="1"/>
    </xf>
    <xf numFmtId="0" fontId="7" fillId="11" borderId="20" xfId="0" applyFont="1" applyFill="1" applyBorder="1" applyAlignment="1">
      <alignment horizontal="center" vertical="center" wrapText="1"/>
    </xf>
    <xf numFmtId="0" fontId="7" fillId="11" borderId="21" xfId="0" applyFont="1" applyFill="1" applyBorder="1" applyAlignment="1">
      <alignment horizontal="center" vertical="center" wrapText="1"/>
    </xf>
    <xf numFmtId="0" fontId="7" fillId="12" borderId="21" xfId="0" applyFont="1" applyFill="1" applyBorder="1" applyAlignment="1">
      <alignment horizontal="center" vertical="center" wrapText="1"/>
    </xf>
    <xf numFmtId="0" fontId="7" fillId="11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6" fillId="10" borderId="29" xfId="0" applyFont="1" applyFill="1" applyBorder="1" applyAlignment="1">
      <alignment horizontal="center" vertical="center" wrapText="1"/>
    </xf>
    <xf numFmtId="0" fontId="7" fillId="11" borderId="30" xfId="0" applyFont="1" applyFill="1" applyBorder="1" applyAlignment="1">
      <alignment horizontal="center" vertical="center" wrapText="1"/>
    </xf>
    <xf numFmtId="0" fontId="7" fillId="11" borderId="31" xfId="0" applyFont="1" applyFill="1" applyBorder="1" applyAlignment="1">
      <alignment horizontal="center" vertical="center" wrapText="1"/>
    </xf>
    <xf numFmtId="0" fontId="7" fillId="12" borderId="31" xfId="0" applyFont="1" applyFill="1" applyBorder="1" applyAlignment="1">
      <alignment horizontal="center" vertical="center" wrapText="1"/>
    </xf>
    <xf numFmtId="0" fontId="7" fillId="11" borderId="32" xfId="0" applyFont="1" applyFill="1" applyBorder="1" applyAlignment="1">
      <alignment horizontal="center" vertical="center" wrapText="1"/>
    </xf>
    <xf numFmtId="0" fontId="7" fillId="13" borderId="33" xfId="0" applyFont="1" applyFill="1" applyBorder="1" applyAlignment="1">
      <alignment horizontal="center" vertical="center" wrapText="1"/>
    </xf>
    <xf numFmtId="0" fontId="7" fillId="11" borderId="3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11" borderId="33" xfId="0" applyFont="1" applyFill="1" applyBorder="1" applyAlignment="1">
      <alignment horizontal="center" vertical="center" wrapText="1"/>
    </xf>
    <xf numFmtId="0" fontId="7" fillId="11" borderId="39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0" fontId="8" fillId="0" borderId="41" xfId="0" applyFont="1" applyBorder="1"/>
    <xf numFmtId="0" fontId="8" fillId="0" borderId="43" xfId="0" applyFont="1" applyBorder="1"/>
    <xf numFmtId="0" fontId="0" fillId="0" borderId="0" xfId="0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7" borderId="0" xfId="0" applyFont="1" applyFill="1" applyAlignment="1">
      <alignment horizontal="center" vertical="center"/>
    </xf>
    <xf numFmtId="2" fontId="2" fillId="0" borderId="1" xfId="0" applyNumberFormat="1" applyFont="1" applyBorder="1"/>
    <xf numFmtId="2" fontId="2" fillId="0" borderId="1" xfId="0" applyNumberFormat="1" applyFont="1" applyBorder="1" applyAlignment="1">
      <alignment vertical="center"/>
    </xf>
    <xf numFmtId="0" fontId="5" fillId="0" borderId="0" xfId="0" applyFont="1"/>
    <xf numFmtId="0" fontId="9" fillId="20" borderId="0" xfId="0" applyFont="1" applyFill="1" applyAlignment="1">
      <alignment vertical="center"/>
    </xf>
    <xf numFmtId="49" fontId="0" fillId="0" borderId="0" xfId="0" applyNumberFormat="1"/>
    <xf numFmtId="49" fontId="11" fillId="0" borderId="0" xfId="0" applyNumberFormat="1" applyFont="1"/>
    <xf numFmtId="0" fontId="0" fillId="0" borderId="45" xfId="0" applyBorder="1" applyAlignment="1">
      <alignment horizontal="center" vertical="center" wrapText="1"/>
    </xf>
    <xf numFmtId="49" fontId="0" fillId="0" borderId="45" xfId="0" applyNumberFormat="1" applyBorder="1" applyAlignment="1">
      <alignment horizontal="center" vertical="center" wrapText="1"/>
    </xf>
    <xf numFmtId="49" fontId="11" fillId="0" borderId="40" xfId="0" applyNumberFormat="1" applyFont="1" applyBorder="1"/>
    <xf numFmtId="49" fontId="11" fillId="0" borderId="46" xfId="0" applyNumberFormat="1" applyFont="1" applyBorder="1"/>
    <xf numFmtId="0" fontId="11" fillId="0" borderId="4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46" xfId="0" applyFont="1" applyBorder="1" applyAlignment="1">
      <alignment horizontal="center"/>
    </xf>
    <xf numFmtId="167" fontId="11" fillId="0" borderId="40" xfId="0" applyNumberFormat="1" applyFont="1" applyBorder="1" applyAlignment="1">
      <alignment horizontal="center"/>
    </xf>
    <xf numFmtId="167" fontId="11" fillId="0" borderId="0" xfId="0" applyNumberFormat="1" applyFont="1" applyAlignment="1">
      <alignment horizontal="center"/>
    </xf>
    <xf numFmtId="167" fontId="11" fillId="0" borderId="46" xfId="0" applyNumberFormat="1" applyFont="1" applyBorder="1" applyAlignment="1">
      <alignment horizontal="center"/>
    </xf>
    <xf numFmtId="49" fontId="0" fillId="0" borderId="40" xfId="0" applyNumberFormat="1" applyBorder="1"/>
    <xf numFmtId="49" fontId="0" fillId="0" borderId="46" xfId="0" applyNumberFormat="1" applyBorder="1"/>
    <xf numFmtId="167" fontId="0" fillId="0" borderId="40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46" xfId="0" applyNumberFormat="1" applyBorder="1" applyAlignment="1">
      <alignment horizontal="center"/>
    </xf>
    <xf numFmtId="167" fontId="5" fillId="0" borderId="40" xfId="0" applyNumberFormat="1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7" fontId="5" fillId="0" borderId="46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12" fillId="0" borderId="0" xfId="0" applyFont="1"/>
    <xf numFmtId="0" fontId="13" fillId="0" borderId="0" xfId="0" applyFont="1"/>
    <xf numFmtId="2" fontId="0" fillId="0" borderId="47" xfId="0" applyNumberFormat="1" applyBorder="1"/>
    <xf numFmtId="2" fontId="0" fillId="0" borderId="4" xfId="0" applyNumberFormat="1" applyBorder="1"/>
    <xf numFmtId="2" fontId="0" fillId="0" borderId="2" xfId="0" applyNumberFormat="1" applyBorder="1"/>
    <xf numFmtId="2" fontId="0" fillId="0" borderId="42" xfId="0" applyNumberFormat="1" applyBorder="1"/>
    <xf numFmtId="164" fontId="0" fillId="0" borderId="47" xfId="1" applyFont="1" applyBorder="1"/>
    <xf numFmtId="164" fontId="0" fillId="0" borderId="4" xfId="1" applyFont="1" applyBorder="1"/>
    <xf numFmtId="0" fontId="8" fillId="0" borderId="0" xfId="0" applyFont="1"/>
    <xf numFmtId="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14" fillId="0" borderId="0" xfId="0" applyFont="1"/>
    <xf numFmtId="9" fontId="0" fillId="0" borderId="0" xfId="0" applyNumberFormat="1"/>
    <xf numFmtId="2" fontId="0" fillId="0" borderId="49" xfId="0" applyNumberFormat="1" applyBorder="1"/>
    <xf numFmtId="0" fontId="0" fillId="0" borderId="50" xfId="0" applyBorder="1"/>
    <xf numFmtId="2" fontId="0" fillId="0" borderId="51" xfId="0" applyNumberFormat="1" applyBorder="1"/>
    <xf numFmtId="0" fontId="0" fillId="0" borderId="53" xfId="0" applyBorder="1"/>
    <xf numFmtId="0" fontId="0" fillId="0" borderId="55" xfId="0" applyBorder="1"/>
    <xf numFmtId="9" fontId="0" fillId="21" borderId="49" xfId="116" applyFont="1" applyFill="1" applyBorder="1" applyAlignment="1">
      <alignment horizontal="center"/>
    </xf>
    <xf numFmtId="9" fontId="0" fillId="22" borderId="49" xfId="116" applyFont="1" applyFill="1" applyBorder="1" applyAlignment="1">
      <alignment horizontal="center"/>
    </xf>
    <xf numFmtId="9" fontId="0" fillId="23" borderId="49" xfId="116" applyFont="1" applyFill="1" applyBorder="1" applyAlignment="1">
      <alignment horizontal="center"/>
    </xf>
    <xf numFmtId="2" fontId="0" fillId="0" borderId="3" xfId="0" applyNumberFormat="1" applyBorder="1"/>
    <xf numFmtId="2" fontId="0" fillId="0" borderId="1" xfId="0" applyNumberFormat="1" applyBorder="1"/>
    <xf numFmtId="2" fontId="0" fillId="0" borderId="58" xfId="0" applyNumberFormat="1" applyBorder="1"/>
    <xf numFmtId="2" fontId="0" fillId="0" borderId="59" xfId="0" applyNumberFormat="1" applyBorder="1"/>
    <xf numFmtId="2" fontId="0" fillId="0" borderId="60" xfId="0" applyNumberFormat="1" applyBorder="1"/>
    <xf numFmtId="2" fontId="0" fillId="0" borderId="61" xfId="0" applyNumberFormat="1" applyBorder="1"/>
    <xf numFmtId="164" fontId="0" fillId="0" borderId="3" xfId="1" applyFont="1" applyBorder="1"/>
    <xf numFmtId="0" fontId="15" fillId="0" borderId="0" xfId="0" applyFont="1" applyAlignment="1">
      <alignment horizontal="right"/>
    </xf>
    <xf numFmtId="0" fontId="0" fillId="0" borderId="56" xfId="0" applyBorder="1"/>
    <xf numFmtId="9" fontId="0" fillId="21" borderId="51" xfId="116" applyFont="1" applyFill="1" applyBorder="1" applyAlignment="1">
      <alignment horizontal="center"/>
    </xf>
    <xf numFmtId="9" fontId="0" fillId="22" borderId="51" xfId="116" applyFont="1" applyFill="1" applyBorder="1" applyAlignment="1">
      <alignment horizontal="center"/>
    </xf>
    <xf numFmtId="9" fontId="0" fillId="23" borderId="51" xfId="116" applyFont="1" applyFill="1" applyBorder="1" applyAlignment="1">
      <alignment horizontal="center"/>
    </xf>
    <xf numFmtId="0" fontId="0" fillId="21" borderId="49" xfId="0" applyFill="1" applyBorder="1" applyAlignment="1">
      <alignment horizontal="center"/>
    </xf>
    <xf numFmtId="0" fontId="0" fillId="22" borderId="49" xfId="0" applyFill="1" applyBorder="1" applyAlignment="1">
      <alignment horizontal="center"/>
    </xf>
    <xf numFmtId="0" fontId="0" fillId="23" borderId="49" xfId="0" applyFill="1" applyBorder="1" applyAlignment="1">
      <alignment horizontal="center"/>
    </xf>
    <xf numFmtId="0" fontId="0" fillId="21" borderId="56" xfId="0" applyFill="1" applyBorder="1" applyAlignment="1">
      <alignment horizontal="center"/>
    </xf>
    <xf numFmtId="0" fontId="0" fillId="22" borderId="56" xfId="0" applyFill="1" applyBorder="1" applyAlignment="1">
      <alignment horizontal="center"/>
    </xf>
    <xf numFmtId="0" fontId="0" fillId="23" borderId="56" xfId="0" applyFill="1" applyBorder="1" applyAlignment="1">
      <alignment horizontal="center"/>
    </xf>
    <xf numFmtId="9" fontId="0" fillId="21" borderId="49" xfId="0" applyNumberFormat="1" applyFill="1" applyBorder="1" applyAlignment="1">
      <alignment horizontal="center"/>
    </xf>
    <xf numFmtId="9" fontId="0" fillId="21" borderId="56" xfId="0" applyNumberFormat="1" applyFill="1" applyBorder="1" applyAlignment="1">
      <alignment horizontal="center"/>
    </xf>
    <xf numFmtId="9" fontId="0" fillId="22" borderId="49" xfId="0" applyNumberFormat="1" applyFill="1" applyBorder="1" applyAlignment="1">
      <alignment horizontal="center"/>
    </xf>
    <xf numFmtId="9" fontId="0" fillId="22" borderId="56" xfId="0" applyNumberFormat="1" applyFill="1" applyBorder="1" applyAlignment="1">
      <alignment horizontal="center"/>
    </xf>
    <xf numFmtId="9" fontId="0" fillId="23" borderId="52" xfId="116" applyFont="1" applyFill="1" applyBorder="1" applyAlignment="1">
      <alignment horizontal="center"/>
    </xf>
    <xf numFmtId="9" fontId="0" fillId="23" borderId="54" xfId="116" applyFont="1" applyFill="1" applyBorder="1" applyAlignment="1">
      <alignment horizontal="center"/>
    </xf>
    <xf numFmtId="9" fontId="0" fillId="23" borderId="54" xfId="0" applyNumberFormat="1" applyFill="1" applyBorder="1" applyAlignment="1">
      <alignment horizontal="center"/>
    </xf>
    <xf numFmtId="9" fontId="0" fillId="23" borderId="57" xfId="0" applyNumberFormat="1" applyFill="1" applyBorder="1" applyAlignment="1">
      <alignment horizontal="center"/>
    </xf>
    <xf numFmtId="164" fontId="13" fillId="0" borderId="3" xfId="1" applyFont="1" applyBorder="1"/>
    <xf numFmtId="164" fontId="13" fillId="0" borderId="63" xfId="1" applyFont="1" applyBorder="1"/>
    <xf numFmtId="164" fontId="13" fillId="0" borderId="47" xfId="1" applyFont="1" applyBorder="1"/>
    <xf numFmtId="164" fontId="13" fillId="0" borderId="48" xfId="1" applyFont="1" applyBorder="1"/>
    <xf numFmtId="164" fontId="13" fillId="0" borderId="4" xfId="1" applyFont="1" applyBorder="1"/>
    <xf numFmtId="164" fontId="13" fillId="0" borderId="44" xfId="1" applyFont="1" applyBorder="1"/>
    <xf numFmtId="0" fontId="0" fillId="0" borderId="60" xfId="0" applyBorder="1"/>
    <xf numFmtId="0" fontId="0" fillId="0" borderId="2" xfId="0" applyBorder="1"/>
    <xf numFmtId="0" fontId="5" fillId="18" borderId="2" xfId="0" applyFont="1" applyFill="1" applyBorder="1"/>
    <xf numFmtId="0" fontId="0" fillId="18" borderId="2" xfId="0" applyFill="1" applyBorder="1"/>
    <xf numFmtId="0" fontId="5" fillId="6" borderId="49" xfId="0" applyFont="1" applyFill="1" applyBorder="1"/>
    <xf numFmtId="0" fontId="5" fillId="6" borderId="49" xfId="0" applyFont="1" applyFill="1" applyBorder="1" applyAlignment="1">
      <alignment horizontal="center"/>
    </xf>
    <xf numFmtId="0" fontId="5" fillId="7" borderId="49" xfId="0" applyFont="1" applyFill="1" applyBorder="1"/>
    <xf numFmtId="0" fontId="5" fillId="9" borderId="49" xfId="0" applyFont="1" applyFill="1" applyBorder="1"/>
    <xf numFmtId="0" fontId="5" fillId="8" borderId="49" xfId="0" applyFont="1" applyFill="1" applyBorder="1"/>
    <xf numFmtId="0" fontId="5" fillId="3" borderId="49" xfId="0" applyFont="1" applyFill="1" applyBorder="1"/>
    <xf numFmtId="0" fontId="5" fillId="3" borderId="49" xfId="0" applyFont="1" applyFill="1" applyBorder="1" applyAlignment="1">
      <alignment horizontal="center"/>
    </xf>
    <xf numFmtId="0" fontId="0" fillId="0" borderId="49" xfId="0" applyBorder="1" applyAlignment="1">
      <alignment horizontal="left"/>
    </xf>
    <xf numFmtId="0" fontId="0" fillId="5" borderId="49" xfId="0" applyFill="1" applyBorder="1"/>
    <xf numFmtId="0" fontId="0" fillId="0" borderId="49" xfId="0" applyBorder="1"/>
    <xf numFmtId="0" fontId="2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" fillId="0" borderId="49" xfId="0" applyFont="1" applyBorder="1"/>
    <xf numFmtId="0" fontId="2" fillId="2" borderId="56" xfId="0" applyFont="1" applyFill="1" applyBorder="1" applyAlignment="1">
      <alignment horizontal="center" vertical="center"/>
    </xf>
    <xf numFmtId="2" fontId="2" fillId="2" borderId="56" xfId="0" applyNumberFormat="1" applyFont="1" applyFill="1" applyBorder="1" applyAlignment="1">
      <alignment horizontal="center" vertical="center" wrapText="1"/>
    </xf>
    <xf numFmtId="4" fontId="2" fillId="2" borderId="56" xfId="0" applyNumberFormat="1" applyFont="1" applyFill="1" applyBorder="1" applyAlignment="1">
      <alignment horizontal="center" vertical="center"/>
    </xf>
    <xf numFmtId="4" fontId="2" fillId="2" borderId="56" xfId="0" applyNumberFormat="1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5" fillId="18" borderId="2" xfId="0" applyFont="1" applyFill="1" applyBorder="1" applyAlignment="1">
      <alignment horizontal="center" vertical="center"/>
    </xf>
    <xf numFmtId="2" fontId="2" fillId="4" borderId="1" xfId="0" applyNumberFormat="1" applyFont="1" applyFill="1" applyBorder="1"/>
    <xf numFmtId="0" fontId="8" fillId="0" borderId="64" xfId="0" applyFont="1" applyBorder="1"/>
    <xf numFmtId="0" fontId="8" fillId="15" borderId="65" xfId="0" applyFont="1" applyFill="1" applyBorder="1"/>
    <xf numFmtId="0" fontId="8" fillId="0" borderId="66" xfId="0" applyFont="1" applyBorder="1"/>
    <xf numFmtId="0" fontId="8" fillId="14" borderId="67" xfId="0" applyFont="1" applyFill="1" applyBorder="1"/>
    <xf numFmtId="0" fontId="8" fillId="16" borderId="68" xfId="0" applyFont="1" applyFill="1" applyBorder="1"/>
    <xf numFmtId="0" fontId="8" fillId="0" borderId="69" xfId="0" applyFont="1" applyBorder="1"/>
    <xf numFmtId="0" fontId="0" fillId="4" borderId="0" xfId="0" applyFill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116" applyNumberFormat="1" applyFont="1" applyAlignment="1">
      <alignment horizontal="center" vertical="center"/>
    </xf>
    <xf numFmtId="9" fontId="0" fillId="0" borderId="0" xfId="116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4" xfId="0" applyBorder="1"/>
    <xf numFmtId="0" fontId="0" fillId="0" borderId="51" xfId="0" applyBorder="1"/>
    <xf numFmtId="0" fontId="0" fillId="0" borderId="52" xfId="0" applyBorder="1"/>
    <xf numFmtId="0" fontId="0" fillId="0" borderId="75" xfId="0" applyBorder="1" applyAlignment="1">
      <alignment horizontal="center" vertical="center"/>
    </xf>
    <xf numFmtId="0" fontId="0" fillId="0" borderId="70" xfId="0" applyBorder="1"/>
    <xf numFmtId="0" fontId="0" fillId="0" borderId="71" xfId="0" applyBorder="1"/>
    <xf numFmtId="0" fontId="0" fillId="0" borderId="76" xfId="0" applyBorder="1"/>
    <xf numFmtId="0" fontId="0" fillId="0" borderId="77" xfId="0" applyBorder="1" applyAlignment="1">
      <alignment horizontal="center" vertical="center"/>
    </xf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0" fillId="0" borderId="81" xfId="0" applyBorder="1" applyAlignment="1">
      <alignment horizontal="center" vertical="center"/>
    </xf>
    <xf numFmtId="0" fontId="0" fillId="0" borderId="82" xfId="0" applyBorder="1"/>
    <xf numFmtId="0" fontId="0" fillId="0" borderId="83" xfId="0" applyBorder="1"/>
    <xf numFmtId="0" fontId="0" fillId="0" borderId="84" xfId="0" applyBorder="1" applyAlignment="1">
      <alignment horizontal="center" vertical="center"/>
    </xf>
    <xf numFmtId="0" fontId="0" fillId="0" borderId="85" xfId="0" applyBorder="1"/>
    <xf numFmtId="0" fontId="0" fillId="0" borderId="86" xfId="0" applyBorder="1" applyAlignment="1">
      <alignment horizontal="center" vertical="center"/>
    </xf>
    <xf numFmtId="0" fontId="0" fillId="0" borderId="87" xfId="0" applyBorder="1"/>
    <xf numFmtId="0" fontId="0" fillId="0" borderId="44" xfId="0" applyBorder="1"/>
    <xf numFmtId="9" fontId="0" fillId="0" borderId="0" xfId="0" applyNumberFormat="1" applyAlignment="1">
      <alignment horizontal="center" vertical="center"/>
    </xf>
    <xf numFmtId="9" fontId="0" fillId="0" borderId="0" xfId="116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2" fontId="0" fillId="18" borderId="0" xfId="0" applyNumberFormat="1" applyFill="1" applyAlignment="1">
      <alignment horizontal="center"/>
    </xf>
    <xf numFmtId="2" fontId="0" fillId="19" borderId="0" xfId="0" applyNumberFormat="1" applyFill="1" applyAlignment="1">
      <alignment horizontal="center"/>
    </xf>
    <xf numFmtId="2" fontId="0" fillId="6" borderId="62" xfId="0" applyNumberFormat="1" applyFill="1" applyBorder="1" applyAlignment="1">
      <alignment horizontal="center"/>
    </xf>
    <xf numFmtId="2" fontId="0" fillId="6" borderId="60" xfId="0" applyNumberFormat="1" applyFill="1" applyBorder="1" applyAlignment="1">
      <alignment horizontal="center"/>
    </xf>
    <xf numFmtId="2" fontId="0" fillId="6" borderId="6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20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88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117">
    <cellStyle name="Comma" xfId="1" builtinId="3"/>
    <cellStyle name="Followed Hyperlink" xfId="63" builtinId="9" hidden="1"/>
    <cellStyle name="Followed Hyperlink" xfId="69" builtinId="9" hidden="1"/>
    <cellStyle name="Followed Hyperlink" xfId="75" builtinId="9" hidden="1"/>
    <cellStyle name="Followed Hyperlink" xfId="73" builtinId="9" hidden="1"/>
    <cellStyle name="Followed Hyperlink" xfId="81" builtinId="9" hidden="1"/>
    <cellStyle name="Followed Hyperlink" xfId="65" builtinId="9" hidden="1"/>
    <cellStyle name="Followed Hyperlink" xfId="93" builtinId="9" hidden="1"/>
    <cellStyle name="Followed Hyperlink" xfId="111" builtinId="9" hidden="1"/>
    <cellStyle name="Followed Hyperlink" xfId="57" builtinId="9" hidden="1"/>
    <cellStyle name="Followed Hyperlink" xfId="105" builtinId="9" hidden="1"/>
    <cellStyle name="Followed Hyperlink" xfId="89" builtinId="9" hidden="1"/>
    <cellStyle name="Followed Hyperlink" xfId="115" builtinId="9" hidden="1"/>
    <cellStyle name="Followed Hyperlink" xfId="11" builtinId="9" hidden="1"/>
    <cellStyle name="Followed Hyperlink" xfId="113" builtinId="9" hidden="1"/>
    <cellStyle name="Followed Hyperlink" xfId="107" builtinId="9" hidden="1"/>
    <cellStyle name="Followed Hyperlink" xfId="7" builtinId="9" hidden="1"/>
    <cellStyle name="Followed Hyperlink" xfId="43" builtinId="9" hidden="1"/>
    <cellStyle name="Followed Hyperlink" xfId="99" builtinId="9" hidden="1"/>
    <cellStyle name="Followed Hyperlink" xfId="91" builtinId="9" hidden="1"/>
    <cellStyle name="Followed Hyperlink" xfId="101" builtinId="9" hidden="1"/>
    <cellStyle name="Followed Hyperlink" xfId="33" builtinId="9" hidden="1"/>
    <cellStyle name="Followed Hyperlink" xfId="95" builtinId="9" hidden="1"/>
    <cellStyle name="Followed Hyperlink" xfId="87" builtinId="9" hidden="1"/>
    <cellStyle name="Followed Hyperlink" xfId="71" builtinId="9" hidden="1"/>
    <cellStyle name="Followed Hyperlink" xfId="79" builtinId="9" hidden="1"/>
    <cellStyle name="Followed Hyperlink" xfId="27" builtinId="9" hidden="1"/>
    <cellStyle name="Followed Hyperlink" xfId="97" builtinId="9" hidden="1"/>
    <cellStyle name="Followed Hyperlink" xfId="25" builtinId="9" hidden="1"/>
    <cellStyle name="Followed Hyperlink" xfId="109" builtinId="9" hidden="1"/>
    <cellStyle name="Followed Hyperlink" xfId="67" builtinId="9" hidden="1"/>
    <cellStyle name="Followed Hyperlink" xfId="35" builtinId="9" hidden="1"/>
    <cellStyle name="Followed Hyperlink" xfId="19" builtinId="9" hidden="1"/>
    <cellStyle name="Followed Hyperlink" xfId="59" builtinId="9" hidden="1"/>
    <cellStyle name="Followed Hyperlink" xfId="37" builtinId="9" hidden="1"/>
    <cellStyle name="Followed Hyperlink" xfId="49" builtinId="9" hidden="1"/>
    <cellStyle name="Followed Hyperlink" xfId="45" builtinId="9" hidden="1"/>
    <cellStyle name="Followed Hyperlink" xfId="55" builtinId="9" hidden="1"/>
    <cellStyle name="Followed Hyperlink" xfId="53" builtinId="9" hidden="1"/>
    <cellStyle name="Followed Hyperlink" xfId="23" builtinId="9" hidden="1"/>
    <cellStyle name="Followed Hyperlink" xfId="51" builtinId="9" hidden="1"/>
    <cellStyle name="Followed Hyperlink" xfId="103" builtinId="9" hidden="1"/>
    <cellStyle name="Followed Hyperlink" xfId="61" builtinId="9" hidden="1"/>
    <cellStyle name="Followed Hyperlink" xfId="17" builtinId="9" hidden="1"/>
    <cellStyle name="Followed Hyperlink" xfId="41" builtinId="9" hidden="1"/>
    <cellStyle name="Followed Hyperlink" xfId="39" builtinId="9" hidden="1"/>
    <cellStyle name="Followed Hyperlink" xfId="31" builtinId="9" hidden="1"/>
    <cellStyle name="Followed Hyperlink" xfId="13" builtinId="9" hidden="1"/>
    <cellStyle name="Followed Hyperlink" xfId="9" builtinId="9" hidden="1"/>
    <cellStyle name="Followed Hyperlink" xfId="83" builtinId="9" hidden="1"/>
    <cellStyle name="Followed Hyperlink" xfId="29" builtinId="9" hidden="1"/>
    <cellStyle name="Followed Hyperlink" xfId="77" builtinId="9" hidden="1"/>
    <cellStyle name="Followed Hyperlink" xfId="21" builtinId="9" hidden="1"/>
    <cellStyle name="Followed Hyperlink" xfId="15" builtinId="9" hidden="1"/>
    <cellStyle name="Followed Hyperlink" xfId="47" builtinId="9" hidden="1"/>
    <cellStyle name="Followed Hyperlink" xfId="5" builtinId="9" hidden="1"/>
    <cellStyle name="Followed Hyperlink" xfId="3" builtinId="9" hidden="1"/>
    <cellStyle name="Followed Hyperlink" xfId="85" builtinId="9" hidden="1"/>
    <cellStyle name="Hyperlink" xfId="88" builtinId="8" hidden="1"/>
    <cellStyle name="Hyperlink" xfId="44" builtinId="8" hidden="1"/>
    <cellStyle name="Hyperlink" xfId="18" builtinId="8" hidden="1"/>
    <cellStyle name="Hyperlink" xfId="76" builtinId="8" hidden="1"/>
    <cellStyle name="Hyperlink" xfId="108" builtinId="8" hidden="1"/>
    <cellStyle name="Hyperlink" xfId="114" builtinId="8" hidden="1"/>
    <cellStyle name="Hyperlink" xfId="60" builtinId="8" hidden="1"/>
    <cellStyle name="Hyperlink" xfId="40" builtinId="8" hidden="1"/>
    <cellStyle name="Hyperlink" xfId="98" builtinId="8" hidden="1"/>
    <cellStyle name="Hyperlink" xfId="14" builtinId="8" hidden="1"/>
    <cellStyle name="Hyperlink" xfId="52" builtinId="8" hidden="1"/>
    <cellStyle name="Hyperlink" xfId="102" builtinId="8" hidden="1"/>
    <cellStyle name="Hyperlink" xfId="8" builtinId="8" hidden="1"/>
    <cellStyle name="Hyperlink" xfId="56" builtinId="8" hidden="1"/>
    <cellStyle name="Hyperlink" xfId="42" builtinId="8" hidden="1"/>
    <cellStyle name="Hyperlink" xfId="58" builtinId="8" hidden="1"/>
    <cellStyle name="Hyperlink" xfId="62" builtinId="8" hidden="1"/>
    <cellStyle name="Hyperlink" xfId="4" builtinId="8" hidden="1"/>
    <cellStyle name="Hyperlink" xfId="70" builtinId="8" hidden="1"/>
    <cellStyle name="Hyperlink" xfId="24" builtinId="8" hidden="1"/>
    <cellStyle name="Hyperlink" xfId="106" builtinId="8" hidden="1"/>
    <cellStyle name="Hyperlink" xfId="20" builtinId="8" hidden="1"/>
    <cellStyle name="Hyperlink" xfId="48" builtinId="8" hidden="1"/>
    <cellStyle name="Hyperlink" xfId="92" builtinId="8" hidden="1"/>
    <cellStyle name="Hyperlink" xfId="72" builtinId="8" hidden="1"/>
    <cellStyle name="Hyperlink" xfId="28" builtinId="8" hidden="1"/>
    <cellStyle name="Hyperlink" xfId="78" builtinId="8" hidden="1"/>
    <cellStyle name="Hyperlink" xfId="66" builtinId="8" hidden="1"/>
    <cellStyle name="Hyperlink" xfId="84" builtinId="8" hidden="1"/>
    <cellStyle name="Hyperlink" xfId="110" builtinId="8" hidden="1"/>
    <cellStyle name="Hyperlink" xfId="6" builtinId="8" hidden="1"/>
    <cellStyle name="Hyperlink" xfId="100" builtinId="8" hidden="1"/>
    <cellStyle name="Hyperlink" xfId="32" builtinId="8" hidden="1"/>
    <cellStyle name="Hyperlink" xfId="96" builtinId="8" hidden="1"/>
    <cellStyle name="Hyperlink" xfId="86" builtinId="8" hidden="1"/>
    <cellStyle name="Hyperlink" xfId="50" builtinId="8" hidden="1"/>
    <cellStyle name="Hyperlink" xfId="54" builtinId="8" hidden="1"/>
    <cellStyle name="Hyperlink" xfId="12" builtinId="8" hidden="1"/>
    <cellStyle name="Hyperlink" xfId="2" builtinId="8" hidden="1"/>
    <cellStyle name="Hyperlink" xfId="16" builtinId="8" hidden="1"/>
    <cellStyle name="Hyperlink" xfId="36" builtinId="8" hidden="1"/>
    <cellStyle name="Hyperlink" xfId="112" builtinId="8" hidden="1"/>
    <cellStyle name="Hyperlink" xfId="22" builtinId="8" hidden="1"/>
    <cellStyle name="Hyperlink" xfId="80" builtinId="8" hidden="1"/>
    <cellStyle name="Hyperlink" xfId="82" builtinId="8" hidden="1"/>
    <cellStyle name="Hyperlink" xfId="64" builtinId="8" hidden="1"/>
    <cellStyle name="Hyperlink" xfId="26" builtinId="8" hidden="1"/>
    <cellStyle name="Hyperlink" xfId="90" builtinId="8" hidden="1"/>
    <cellStyle name="Hyperlink" xfId="74" builtinId="8" hidden="1"/>
    <cellStyle name="Hyperlink" xfId="30" builtinId="8" hidden="1"/>
    <cellStyle name="Hyperlink" xfId="104" builtinId="8" hidden="1"/>
    <cellStyle name="Hyperlink" xfId="10" builtinId="8" hidden="1"/>
    <cellStyle name="Hyperlink" xfId="34" builtinId="8" hidden="1"/>
    <cellStyle name="Hyperlink" xfId="38" builtinId="8" hidden="1"/>
    <cellStyle name="Hyperlink" xfId="68" builtinId="8" hidden="1"/>
    <cellStyle name="Hyperlink" xfId="94" builtinId="8" hidden="1"/>
    <cellStyle name="Hyperlink" xfId="46" builtinId="8" hidden="1"/>
    <cellStyle name="Normal" xfId="0" builtinId="0"/>
    <cellStyle name="Percent" xfId="116" builtinId="5"/>
  </cellStyles>
  <dxfs count="24"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/>
        <color theme="0" tint="-0.24994659260841701"/>
      </font>
    </dxf>
    <dxf>
      <font>
        <strike/>
        <color theme="0" tint="-0.24994659260841701"/>
      </font>
    </dxf>
  </dxfs>
  <tableStyles count="0" defaultTableStyle="TableStyleMedium9" defaultPivotStyle="PivotStyleMedium4"/>
  <colors>
    <mruColors>
      <color rgb="FF8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Data Envelopment Analysis (DEA)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</c:v>
          </c:tx>
          <c:spPr>
            <a:ln w="28575">
              <a:noFill/>
            </a:ln>
          </c:spPr>
          <c:xVal>
            <c:numRef>
              <c:f>'DEA Plot'!$F$3</c:f>
              <c:numCache>
                <c:formatCode>General</c:formatCode>
                <c:ptCount val="1"/>
                <c:pt idx="0">
                  <c:v>0.90067858301527182</c:v>
                </c:pt>
              </c:numCache>
            </c:numRef>
          </c:xVal>
          <c:yVal>
            <c:numRef>
              <c:f>'DEA Plot'!$G$3</c:f>
              <c:numCache>
                <c:formatCode>General</c:formatCode>
                <c:ptCount val="1"/>
                <c:pt idx="0">
                  <c:v>2.5307715478068049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5-449C-99EF-CA21190B546E}"/>
            </c:ext>
          </c:extLst>
        </c:ser>
        <c:ser>
          <c:idx val="1"/>
          <c:order val="1"/>
          <c:tx>
            <c:v>AJ</c:v>
          </c:tx>
          <c:spPr>
            <a:ln w="28575">
              <a:noFill/>
            </a:ln>
          </c:spPr>
          <c:xVal>
            <c:numRef>
              <c:f>'DEA Plot'!$F$4</c:f>
              <c:numCache>
                <c:formatCode>General</c:formatCode>
                <c:ptCount val="1"/>
                <c:pt idx="0">
                  <c:v>0.85095967982580589</c:v>
                </c:pt>
              </c:numCache>
            </c:numRef>
          </c:xVal>
          <c:yVal>
            <c:numRef>
              <c:f>'DEA Plot'!$G$4</c:f>
              <c:numCache>
                <c:formatCode>General</c:formatCode>
                <c:ptCount val="1"/>
                <c:pt idx="0">
                  <c:v>0.42055807211116847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85-449C-99EF-CA21190B546E}"/>
            </c:ext>
          </c:extLst>
        </c:ser>
        <c:ser>
          <c:idx val="2"/>
          <c:order val="2"/>
          <c:tx>
            <c:v>E</c:v>
          </c:tx>
          <c:spPr>
            <a:ln w="28575">
              <a:noFill/>
            </a:ln>
          </c:spPr>
          <c:xVal>
            <c:numRef>
              <c:f>'DEA Plot'!$F$5</c:f>
              <c:numCache>
                <c:formatCode>General</c:formatCode>
                <c:ptCount val="1"/>
                <c:pt idx="0">
                  <c:v>0.82883523907964562</c:v>
                </c:pt>
              </c:numCache>
            </c:numRef>
          </c:xVal>
          <c:yVal>
            <c:numRef>
              <c:f>'DEA Plot'!$G$5</c:f>
              <c:numCache>
                <c:formatCode>General</c:formatCode>
                <c:ptCount val="1"/>
                <c:pt idx="0">
                  <c:v>0.85379736191394806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85-449C-99EF-CA21190B546E}"/>
            </c:ext>
          </c:extLst>
        </c:ser>
        <c:ser>
          <c:idx val="3"/>
          <c:order val="3"/>
          <c:tx>
            <c:v>L</c:v>
          </c:tx>
          <c:spPr>
            <a:ln w="28575">
              <a:noFill/>
            </a:ln>
          </c:spPr>
          <c:xVal>
            <c:numRef>
              <c:f>'DEA Plot'!$F$6</c:f>
              <c:numCache>
                <c:formatCode>General</c:formatCode>
                <c:ptCount val="1"/>
                <c:pt idx="0">
                  <c:v>0.80907736914026351</c:v>
                </c:pt>
              </c:numCache>
            </c:numRef>
          </c:xVal>
          <c:yVal>
            <c:numRef>
              <c:f>'DEA Plot'!$G$6</c:f>
              <c:numCache>
                <c:formatCode>General</c:formatCode>
                <c:ptCount val="1"/>
                <c:pt idx="0">
                  <c:v>1.0922071430334499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85-449C-99EF-CA21190B546E}"/>
            </c:ext>
          </c:extLst>
        </c:ser>
        <c:ser>
          <c:idx val="4"/>
          <c:order val="4"/>
          <c:tx>
            <c:v>M</c:v>
          </c:tx>
          <c:spPr>
            <a:ln w="28575">
              <a:noFill/>
            </a:ln>
          </c:spPr>
          <c:xVal>
            <c:numRef>
              <c:f>'DEA Plot'!$F$7</c:f>
              <c:numCache>
                <c:formatCode>General</c:formatCode>
                <c:ptCount val="1"/>
                <c:pt idx="0">
                  <c:v>0.92423365365976484</c:v>
                </c:pt>
              </c:numCache>
            </c:numRef>
          </c:xVal>
          <c:yVal>
            <c:numRef>
              <c:f>'DEA Plot'!$G$7</c:f>
              <c:numCache>
                <c:formatCode>General</c:formatCode>
                <c:ptCount val="1"/>
                <c:pt idx="0">
                  <c:v>2.4387462760241445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85-449C-99EF-CA21190B546E}"/>
            </c:ext>
          </c:extLst>
        </c:ser>
        <c:ser>
          <c:idx val="5"/>
          <c:order val="5"/>
          <c:tx>
            <c:v>Q</c:v>
          </c:tx>
          <c:spPr>
            <a:ln w="28575">
              <a:noFill/>
            </a:ln>
          </c:spPr>
          <c:xVal>
            <c:numRef>
              <c:f>'DEA Plot'!$F$8</c:f>
              <c:numCache>
                <c:formatCode>General</c:formatCode>
                <c:ptCount val="1"/>
                <c:pt idx="0">
                  <c:v>0.87976085447251395</c:v>
                </c:pt>
              </c:numCache>
            </c:numRef>
          </c:xVal>
          <c:yVal>
            <c:numRef>
              <c:f>'DEA Plot'!$G$8</c:f>
              <c:numCache>
                <c:formatCode>General</c:formatCode>
                <c:ptCount val="1"/>
                <c:pt idx="0">
                  <c:v>1.0631716155730577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85-449C-99EF-CA21190B546E}"/>
            </c:ext>
          </c:extLst>
        </c:ser>
        <c:ser>
          <c:idx val="6"/>
          <c:order val="6"/>
          <c:tx>
            <c:v>Z</c:v>
          </c:tx>
          <c:spPr>
            <a:ln w="28575">
              <a:noFill/>
            </a:ln>
          </c:spPr>
          <c:xVal>
            <c:numRef>
              <c:f>'DEA Plot'!$F$9</c:f>
              <c:numCache>
                <c:formatCode>General</c:formatCode>
                <c:ptCount val="1"/>
                <c:pt idx="0">
                  <c:v>1.071737830074768</c:v>
                </c:pt>
              </c:numCache>
            </c:numRef>
          </c:xVal>
          <c:yVal>
            <c:numRef>
              <c:f>'DEA Plot'!$G$9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85-449C-99EF-CA21190B5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552223"/>
        <c:axId val="882923439"/>
      </c:scatterChart>
      <c:valAx>
        <c:axId val="1529552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Surgical Cases/Cost per Patient-day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2923439"/>
        <c:crosses val="autoZero"/>
        <c:crossBetween val="midCat"/>
      </c:valAx>
      <c:valAx>
        <c:axId val="882923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Hip Fracture Cases/Surgical ALC 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29552223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37385341207349082"/>
          <c:y val="9.2437598425196846E-2"/>
          <c:w val="0.25229317585301836"/>
          <c:h val="0.125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CA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PCA!$C$70:$U$70</c:f>
              <c:strCache>
                <c:ptCount val="19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</c:strCache>
            </c:strRef>
          </c:cat>
          <c:val>
            <c:numRef>
              <c:f>PCA!$C$71:$U$71</c:f>
              <c:numCache>
                <c:formatCode>0.000</c:formatCode>
                <c:ptCount val="19"/>
                <c:pt idx="0">
                  <c:v>6.3051327873586862</c:v>
                </c:pt>
                <c:pt idx="1">
                  <c:v>3.3403889523262813</c:v>
                </c:pt>
                <c:pt idx="2">
                  <c:v>2.5591087050058805</c:v>
                </c:pt>
                <c:pt idx="3">
                  <c:v>1.5852505154828929</c:v>
                </c:pt>
                <c:pt idx="4">
                  <c:v>1.0574781731462679</c:v>
                </c:pt>
                <c:pt idx="5">
                  <c:v>0.96716549133437746</c:v>
                </c:pt>
                <c:pt idx="6">
                  <c:v>0.86900335863366385</c:v>
                </c:pt>
                <c:pt idx="7">
                  <c:v>0.69417001048723714</c:v>
                </c:pt>
                <c:pt idx="8">
                  <c:v>0.47476605121442056</c:v>
                </c:pt>
                <c:pt idx="9">
                  <c:v>0.3506361956827958</c:v>
                </c:pt>
                <c:pt idx="10">
                  <c:v>0.24895413506881375</c:v>
                </c:pt>
                <c:pt idx="11">
                  <c:v>0.1961585924287233</c:v>
                </c:pt>
                <c:pt idx="12">
                  <c:v>0.13136025992472911</c:v>
                </c:pt>
                <c:pt idx="13">
                  <c:v>8.5629015508235068E-2</c:v>
                </c:pt>
                <c:pt idx="14">
                  <c:v>5.6492272634690525E-2</c:v>
                </c:pt>
                <c:pt idx="15">
                  <c:v>4.1343533957446853E-2</c:v>
                </c:pt>
                <c:pt idx="16">
                  <c:v>1.8421562065315648E-2</c:v>
                </c:pt>
                <c:pt idx="17">
                  <c:v>1.3029142992154829E-2</c:v>
                </c:pt>
                <c:pt idx="18">
                  <c:v>5.5112447473865114E-3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6-4867-AA88-C2C04AFA3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047300399"/>
        <c:axId val="178423798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PCA!$C$70:$U$70</c:f>
              <c:strCache>
                <c:ptCount val="19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</c:strCache>
            </c:strRef>
          </c:cat>
          <c:val>
            <c:numRef>
              <c:f>PCA!$C$73:$U$73</c:f>
              <c:numCache>
                <c:formatCode>0.000</c:formatCode>
                <c:ptCount val="19"/>
                <c:pt idx="0">
                  <c:v>33.184909407150968</c:v>
                </c:pt>
                <c:pt idx="1">
                  <c:v>50.765903893078757</c:v>
                </c:pt>
                <c:pt idx="2">
                  <c:v>64.234897077320227</c:v>
                </c:pt>
                <c:pt idx="3">
                  <c:v>72.578320843019668</c:v>
                </c:pt>
                <c:pt idx="4">
                  <c:v>78.143995438526332</c:v>
                </c:pt>
                <c:pt idx="5">
                  <c:v>83.2343401297599</c:v>
                </c:pt>
                <c:pt idx="6">
                  <c:v>87.808042017305496</c:v>
                </c:pt>
                <c:pt idx="7">
                  <c:v>91.461568388290956</c:v>
                </c:pt>
                <c:pt idx="8">
                  <c:v>93.960337078893176</c:v>
                </c:pt>
                <c:pt idx="9">
                  <c:v>95.805790740381568</c:v>
                </c:pt>
                <c:pt idx="10">
                  <c:v>97.116075661796373</c:v>
                </c:pt>
                <c:pt idx="11">
                  <c:v>98.148489306158069</c:v>
                </c:pt>
                <c:pt idx="12">
                  <c:v>98.839859095235596</c:v>
                </c:pt>
                <c:pt idx="13">
                  <c:v>99.290538124226302</c:v>
                </c:pt>
                <c:pt idx="14">
                  <c:v>99.587865874935204</c:v>
                </c:pt>
                <c:pt idx="15">
                  <c:v>99.805463422079654</c:v>
                </c:pt>
                <c:pt idx="16">
                  <c:v>99.902419011897109</c:v>
                </c:pt>
                <c:pt idx="17">
                  <c:v>99.970993448697925</c:v>
                </c:pt>
                <c:pt idx="18">
                  <c:v>99.999999999999957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6-4867-AA88-C2C04AFA3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311071"/>
        <c:axId val="1784237023"/>
      </c:lineChart>
      <c:catAx>
        <c:axId val="2047300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84237983"/>
        <c:crosses val="autoZero"/>
        <c:auto val="1"/>
        <c:lblAlgn val="ctr"/>
        <c:lblOffset val="100"/>
        <c:noMultiLvlLbl val="0"/>
      </c:catAx>
      <c:valAx>
        <c:axId val="178423798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047300399"/>
        <c:crosses val="autoZero"/>
        <c:crossBetween val="between"/>
      </c:valAx>
      <c:valAx>
        <c:axId val="178423702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047311071"/>
        <c:crosses val="max"/>
        <c:crossBetween val="between"/>
        <c:majorUnit val="20"/>
      </c:valAx>
      <c:catAx>
        <c:axId val="2047311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423702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CA"/>
              <a:t>Variables (axes F1 and F2: 50.77 %)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5.23612673415823E-2"/>
          <c:y val="8.0734283214598176E-2"/>
          <c:w val="0.92382920884889375"/>
          <c:h val="0.75628890138732663"/>
        </c:manualLayout>
      </c:layout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984126984126984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Cost per Patient-day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EA0-4A36-922D-23012B610C3F}"/>
                </c:ext>
              </c:extLst>
            </c:dLbl>
            <c:dLbl>
              <c:idx val="1"/>
              <c:layout>
                <c:manualLayout>
                  <c:x val="-1.984126984126984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Surgical Cases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EA0-4A36-922D-23012B610C3F}"/>
                </c:ext>
              </c:extLst>
            </c:dLbl>
            <c:dLbl>
              <c:idx val="2"/>
              <c:layout>
                <c:manualLayout>
                  <c:x val="-1.984126984126984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Death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EA0-4A36-922D-23012B610C3F}"/>
                </c:ext>
              </c:extLst>
            </c:dLbl>
            <c:dLbl>
              <c:idx val="3"/>
              <c:layout>
                <c:manualLayout>
                  <c:x val="-1.984126984126984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Cardiac Arrest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EA0-4A36-922D-23012B610C3F}"/>
                </c:ext>
              </c:extLst>
            </c:dLbl>
            <c:dLbl>
              <c:idx val="4"/>
              <c:layout>
                <c:manualLayout>
                  <c:x val="-1.984126984126984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Post-Surgery AMI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EA0-4A36-922D-23012B610C3F}"/>
                </c:ext>
              </c:extLst>
            </c:dLbl>
            <c:dLbl>
              <c:idx val="5"/>
              <c:layout>
                <c:manualLayout>
                  <c:x val="-1.984126984126984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Surgical Site Infections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EA0-4A36-922D-23012B610C3F}"/>
                </c:ext>
              </c:extLst>
            </c:dLbl>
            <c:dLbl>
              <c:idx val="6"/>
              <c:layout>
                <c:manualLayout>
                  <c:x val="-1.984126984126984E-2"/>
                  <c:y val="-3.17460317460317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Sepsis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EA0-4A36-922D-23012B610C3F}"/>
                </c:ext>
              </c:extLst>
            </c:dLbl>
            <c:dLbl>
              <c:idx val="7"/>
              <c:layout>
                <c:manualLayout>
                  <c:x val="-1.9841269841269913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C-Section 
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EA0-4A36-922D-23012B610C3F}"/>
                </c:ext>
              </c:extLst>
            </c:dLbl>
            <c:dLbl>
              <c:idx val="8"/>
              <c:layout>
                <c:manualLayout>
                  <c:x val="-1.9841269841269986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Total Medical Inpatient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EA0-4A36-922D-23012B610C3F}"/>
                </c:ext>
              </c:extLst>
            </c:dLbl>
            <c:dLbl>
              <c:idx val="9"/>
              <c:layout>
                <c:manualLayout>
                  <c:x val="-1.9841269841269913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Medical 
ALC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EA0-4A36-922D-23012B610C3F}"/>
                </c:ext>
              </c:extLst>
            </c:dLbl>
            <c:dLbl>
              <c:idx val="10"/>
              <c:layout>
                <c:manualLayout>
                  <c:x val="-1.984126984126984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Total Surgical Inpatient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EA0-4A36-922D-23012B610C3F}"/>
                </c:ext>
              </c:extLst>
            </c:dLbl>
            <c:dLbl>
              <c:idx val="11"/>
              <c:layout>
                <c:manualLayout>
                  <c:x val="-1.9841269841269913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Surgical ALC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EA0-4A36-922D-23012B610C3F}"/>
                </c:ext>
              </c:extLst>
            </c:dLbl>
            <c:dLbl>
              <c:idx val="12"/>
              <c:layout>
                <c:manualLayout>
                  <c:x val="-1.984126984126987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Total Mental Health Inpatient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EA0-4A36-922D-23012B610C3F}"/>
                </c:ext>
              </c:extLst>
            </c:dLbl>
            <c:dLbl>
              <c:idx val="13"/>
              <c:layout>
                <c:manualLayout>
                  <c:x val="-1.984126984126984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Mental Health ALC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EA0-4A36-922D-23012B610C3F}"/>
                </c:ext>
              </c:extLst>
            </c:dLbl>
            <c:dLbl>
              <c:idx val="14"/>
              <c:layout>
                <c:manualLayout>
                  <c:x val="-1.984126984126984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Hip Fracture Cases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EA0-4A36-922D-23012B610C3F}"/>
                </c:ext>
              </c:extLst>
            </c:dLbl>
            <c:dLbl>
              <c:idx val="15"/>
              <c:layout>
                <c:manualLayout>
                  <c:x val="-1.984126984126984E-2"/>
                  <c:y val="1.785714285714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Hip Fracture Cases with Surgery in 24h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EA0-4A36-922D-23012B610C3F}"/>
                </c:ext>
              </c:extLst>
            </c:dLbl>
            <c:dLbl>
              <c:idx val="16"/>
              <c:layout>
                <c:manualLayout>
                  <c:x val="-1.984126984126984E-2"/>
                  <c:y val="-3.1746031746031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Median ED Delay (Hours)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EA0-4A36-922D-23012B610C3F}"/>
                </c:ext>
              </c:extLst>
            </c:dLbl>
            <c:dLbl>
              <c:idx val="17"/>
              <c:layout>
                <c:manualLayout>
                  <c:x val="-1.984126984126984E-2"/>
                  <c:y val="-3.1746031746031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Actual Cases with ED delay &gt;= 2 Hours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EA0-4A36-922D-23012B610C3F}"/>
                </c:ext>
              </c:extLst>
            </c:dLbl>
            <c:dLbl>
              <c:idx val="18"/>
              <c:layout>
                <c:manualLayout>
                  <c:x val="-1.984126984126984E-2"/>
                  <c:y val="-3.1746031746031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Actual Cases with ED delay &gt;=4 Hours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EA0-4A36-922D-23012B610C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XLSTAT_20230403_150129_1_HID!$A$1:$A$19</c:f>
              <c:numCache>
                <c:formatCode>General</c:formatCode>
                <c:ptCount val="19"/>
                <c:pt idx="0">
                  <c:v>0.55977163088532378</c:v>
                </c:pt>
                <c:pt idx="1">
                  <c:v>0.94571557604546996</c:v>
                </c:pt>
                <c:pt idx="2">
                  <c:v>0.17509442552491236</c:v>
                </c:pt>
                <c:pt idx="3">
                  <c:v>0.12208604675592274</c:v>
                </c:pt>
                <c:pt idx="4">
                  <c:v>0.31465900409556408</c:v>
                </c:pt>
                <c:pt idx="5">
                  <c:v>0.50731816089164405</c:v>
                </c:pt>
                <c:pt idx="6">
                  <c:v>0.66764865430652298</c:v>
                </c:pt>
                <c:pt idx="7">
                  <c:v>0.45949721978667446</c:v>
                </c:pt>
                <c:pt idx="8">
                  <c:v>0.88059526812835343</c:v>
                </c:pt>
                <c:pt idx="9">
                  <c:v>0.74054737603684506</c:v>
                </c:pt>
                <c:pt idx="10">
                  <c:v>0.93296667922219489</c:v>
                </c:pt>
                <c:pt idx="11">
                  <c:v>0.86338589394768173</c:v>
                </c:pt>
                <c:pt idx="12">
                  <c:v>0.23874250600127694</c:v>
                </c:pt>
                <c:pt idx="13">
                  <c:v>0.31434328328025329</c:v>
                </c:pt>
                <c:pt idx="14">
                  <c:v>0.66318732550598958</c:v>
                </c:pt>
                <c:pt idx="15">
                  <c:v>0.45731652886260998</c:v>
                </c:pt>
                <c:pt idx="16">
                  <c:v>0.11938317571991694</c:v>
                </c:pt>
                <c:pt idx="17">
                  <c:v>0.37048954538926232</c:v>
                </c:pt>
                <c:pt idx="18">
                  <c:v>0.37758738917226853</c:v>
                </c:pt>
              </c:numCache>
            </c:numRef>
          </c:xVal>
          <c:yVal>
            <c:numRef>
              <c:f>XLSTAT_20230403_150129_1_HID!$B$1:$B$19</c:f>
              <c:numCache>
                <c:formatCode>General</c:formatCode>
                <c:ptCount val="19"/>
                <c:pt idx="0">
                  <c:v>7.9552841349007045E-2</c:v>
                </c:pt>
                <c:pt idx="1">
                  <c:v>2.0989513773901866E-4</c:v>
                </c:pt>
                <c:pt idx="2">
                  <c:v>-8.8100208541380662E-2</c:v>
                </c:pt>
                <c:pt idx="3">
                  <c:v>-0.20980179584970926</c:v>
                </c:pt>
                <c:pt idx="4">
                  <c:v>3.2234596051994746E-2</c:v>
                </c:pt>
                <c:pt idx="5">
                  <c:v>6.9187025265412322E-3</c:v>
                </c:pt>
                <c:pt idx="6">
                  <c:v>0.43351259062881603</c:v>
                </c:pt>
                <c:pt idx="7">
                  <c:v>-4.2557256240220852E-2</c:v>
                </c:pt>
                <c:pt idx="8">
                  <c:v>-0.12232666723045003</c:v>
                </c:pt>
                <c:pt idx="9">
                  <c:v>-0.22644873864510956</c:v>
                </c:pt>
                <c:pt idx="10">
                  <c:v>-9.1844045643908676E-2</c:v>
                </c:pt>
                <c:pt idx="11">
                  <c:v>7.7087324195019534E-3</c:v>
                </c:pt>
                <c:pt idx="12">
                  <c:v>-0.63985978062269666</c:v>
                </c:pt>
                <c:pt idx="13">
                  <c:v>-0.65363307926278935</c:v>
                </c:pt>
                <c:pt idx="14">
                  <c:v>-0.2579092689563024</c:v>
                </c:pt>
                <c:pt idx="15">
                  <c:v>-0.26531645441857332</c:v>
                </c:pt>
                <c:pt idx="16">
                  <c:v>0.81747468262278544</c:v>
                </c:pt>
                <c:pt idx="17">
                  <c:v>0.83042762034610773</c:v>
                </c:pt>
                <c:pt idx="18">
                  <c:v>0.82781117952398042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0-4A36-922D-23012B610C3F}"/>
            </c:ext>
          </c:extLst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XLSTAT_20230403_150129_1_HID1!xcirclez1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XLSTAT_20230403_150129_1_HID1!ycirclez1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EA0-4A36-922D-23012B610C3F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0.55977163088532378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7.9552841349007045E-2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6EA0-4A36-922D-23012B610C3F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0.94571557604546996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2.0989513773901866E-4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6EA0-4A36-922D-23012B610C3F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0.17509442552491236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-8.8100208541380662E-2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6EA0-4A36-922D-23012B610C3F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0.12208604675592274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-0.20980179584970926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6EA0-4A36-922D-23012B610C3F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0.31465900409556408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3.2234596051994746E-2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6EA0-4A36-922D-23012B610C3F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0.50731816089164405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6.9187025265412322E-3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6EA0-4A36-922D-23012B610C3F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0.66764865430652298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0.43351259062881603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6EA0-4A36-922D-23012B610C3F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0.45949721978667446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-4.2557256240220852E-2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6EA0-4A36-922D-23012B610C3F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0.88059526812835343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-0.12232666723045003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6EA0-4A36-922D-23012B610C3F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0.74054737603684506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-0.22644873864510956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E-6EA0-4A36-922D-23012B610C3F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0.93296667922219489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-9.1844045643908676E-2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6EA0-4A36-922D-23012B610C3F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0.86338589394768173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7.7087324195019534E-3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6EA0-4A36-922D-23012B610C3F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0.23874250600127694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-0.63985978062269666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1-6EA0-4A36-922D-23012B610C3F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0.31434328328025329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-0.65363307926278935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6EA0-4A36-922D-23012B610C3F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0.66318732550598958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-0.2579092689563024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3-6EA0-4A36-922D-23012B610C3F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0.45731652886260998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-0.26531645441857332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4-6EA0-4A36-922D-23012B610C3F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0.11938317571991694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0.81747468262278544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5-6EA0-4A36-922D-23012B610C3F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0.37048954538926232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0.83042762034610773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6EA0-4A36-922D-23012B610C3F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0.37758738917226853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0.82781117952398042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7-6EA0-4A36-922D-23012B61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808927"/>
        <c:axId val="1300983279"/>
      </c:scatterChart>
      <c:valAx>
        <c:axId val="2042808927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F1 (33.18 %)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00983279"/>
        <c:crosses val="autoZero"/>
        <c:crossBetween val="midCat"/>
        <c:majorUnit val="0.25"/>
      </c:valAx>
      <c:valAx>
        <c:axId val="1300983279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F2 (17.58 %)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2042808927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ayout>
        <c:manualLayout>
          <c:xMode val="edge"/>
          <c:yMode val="edge"/>
          <c:x val="0.33552891295827841"/>
          <c:y val="0.9092257217847769"/>
          <c:w val="0.36514126910606765"/>
          <c:h val="6.6964754405699295E-2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CA"/>
              <a:t>Observations (axes F1 and F2: 50.77 %)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observations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2287434161023325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4A0-4CD7-987F-A12DB1E1E7FA}"/>
                </c:ext>
              </c:extLst>
            </c:dLbl>
            <c:dLbl>
              <c:idx val="1"/>
              <c:layout>
                <c:manualLayout>
                  <c:x val="-1.5048908954100828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4A0-4CD7-987F-A12DB1E1E7FA}"/>
                </c:ext>
              </c:extLst>
            </c:dLbl>
            <c:dLbl>
              <c:idx val="2"/>
              <c:layout>
                <c:manualLayout>
                  <c:x val="-5.3513920240782574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4A0-4CD7-987F-A12DB1E1E7FA}"/>
                </c:ext>
              </c:extLst>
            </c:dLbl>
            <c:dLbl>
              <c:idx val="3"/>
              <c:layout>
                <c:manualLayout>
                  <c:x val="-1.5048908954100828E-2"/>
                  <c:y val="-3.17460317460317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4A0-4CD7-987F-A12DB1E1E7FA}"/>
                </c:ext>
              </c:extLst>
            </c:dLbl>
            <c:dLbl>
              <c:idx val="4"/>
              <c:layout>
                <c:manualLayout>
                  <c:x val="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4A0-4CD7-987F-A12DB1E1E7FA}"/>
                </c:ext>
              </c:extLst>
            </c:dLbl>
            <c:dLbl>
              <c:idx val="5"/>
              <c:layout>
                <c:manualLayout>
                  <c:x val="-5.1964001113856309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4A0-4CD7-987F-A12DB1E1E7FA}"/>
                </c:ext>
              </c:extLst>
            </c:dLbl>
            <c:dLbl>
              <c:idx val="6"/>
              <c:layout>
                <c:manualLayout>
                  <c:x val="-1.5048908954100883E-2"/>
                  <c:y val="1.785714285714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4A0-4CD7-987F-A12DB1E1E7FA}"/>
                </c:ext>
              </c:extLst>
            </c:dLbl>
            <c:dLbl>
              <c:idx val="7"/>
              <c:layout>
                <c:manualLayout>
                  <c:x val="-1.5048908954100883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4A0-4CD7-987F-A12DB1E1E7FA}"/>
                </c:ext>
              </c:extLst>
            </c:dLbl>
            <c:dLbl>
              <c:idx val="8"/>
              <c:layout>
                <c:manualLayout>
                  <c:x val="-4.7599580526474825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AI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4A0-4CD7-987F-A12DB1E1E7FA}"/>
                </c:ext>
              </c:extLst>
            </c:dLbl>
            <c:dLbl>
              <c:idx val="9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AJ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4A0-4CD7-987F-A12DB1E1E7FA}"/>
                </c:ext>
              </c:extLst>
            </c:dLbl>
            <c:dLbl>
              <c:idx val="10"/>
              <c:layout>
                <c:manualLayout>
                  <c:x val="-4.1565086531226487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4A0-4CD7-987F-A12DB1E1E7FA}"/>
                </c:ext>
              </c:extLst>
            </c:dLbl>
            <c:dLbl>
              <c:idx val="11"/>
              <c:layout>
                <c:manualLayout>
                  <c:x val="-4.1324303987960873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4A0-4CD7-987F-A12DB1E1E7FA}"/>
                </c:ext>
              </c:extLst>
            </c:dLbl>
            <c:dLbl>
              <c:idx val="12"/>
              <c:layout>
                <c:manualLayout>
                  <c:x val="-4.3055047013028591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4A0-4CD7-987F-A12DB1E1E7FA}"/>
                </c:ext>
              </c:extLst>
            </c:dLbl>
            <c:dLbl>
              <c:idx val="13"/>
              <c:layout>
                <c:manualLayout>
                  <c:x val="-1.5048908954100939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4A0-4CD7-987F-A12DB1E1E7FA}"/>
                </c:ext>
              </c:extLst>
            </c:dLbl>
            <c:dLbl>
              <c:idx val="14"/>
              <c:layout>
                <c:manualLayout>
                  <c:x val="-3.9774147870342377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4A0-4CD7-987F-A12DB1E1E7FA}"/>
                </c:ext>
              </c:extLst>
            </c:dLbl>
            <c:dLbl>
              <c:idx val="15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4A0-4CD7-987F-A12DB1E1E7FA}"/>
                </c:ext>
              </c:extLst>
            </c:dLbl>
            <c:dLbl>
              <c:idx val="16"/>
              <c:layout>
                <c:manualLayout>
                  <c:x val="-4.3220466516177579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4A0-4CD7-987F-A12DB1E1E7FA}"/>
                </c:ext>
              </c:extLst>
            </c:dLbl>
            <c:dLbl>
              <c:idx val="17"/>
              <c:layout>
                <c:manualLayout>
                  <c:x val="-3.6809631301730622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4A0-4CD7-987F-A12DB1E1E7FA}"/>
                </c:ext>
              </c:extLst>
            </c:dLbl>
            <c:dLbl>
              <c:idx val="18"/>
              <c:layout>
                <c:manualLayout>
                  <c:x val="-1.5048908954100883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4A0-4CD7-987F-A12DB1E1E7FA}"/>
                </c:ext>
              </c:extLst>
            </c:dLbl>
            <c:dLbl>
              <c:idx val="19"/>
              <c:layout>
                <c:manualLayout>
                  <c:x val="-1.5048908954100828E-2"/>
                  <c:y val="-3.17460317460317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4A0-4CD7-987F-A12DB1E1E7FA}"/>
                </c:ext>
              </c:extLst>
            </c:dLbl>
            <c:dLbl>
              <c:idx val="20"/>
              <c:layout>
                <c:manualLayout>
                  <c:x val="-4.3702031602708857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4A0-4CD7-987F-A12DB1E1E7FA}"/>
                </c:ext>
              </c:extLst>
            </c:dLbl>
            <c:dLbl>
              <c:idx val="21"/>
              <c:layout>
                <c:manualLayout>
                  <c:x val="-4.4048038013307027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4A0-4CD7-987F-A12DB1E1E7FA}"/>
                </c:ext>
              </c:extLst>
            </c:dLbl>
            <c:dLbl>
              <c:idx val="22"/>
              <c:layout>
                <c:manualLayout>
                  <c:x val="-1.5048908954100828E-2"/>
                  <c:y val="-3.17460317460317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4A0-4CD7-987F-A12DB1E1E7FA}"/>
                </c:ext>
              </c:extLst>
            </c:dLbl>
            <c:dLbl>
              <c:idx val="23"/>
              <c:layout>
                <c:manualLayout>
                  <c:x val="-1.5048908954100939E-2"/>
                  <c:y val="1.785714285714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4A0-4CD7-987F-A12DB1E1E7FA}"/>
                </c:ext>
              </c:extLst>
            </c:dLbl>
            <c:dLbl>
              <c:idx val="24"/>
              <c:layout>
                <c:manualLayout>
                  <c:x val="-4.1534988713318254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4A0-4CD7-987F-A12DB1E1E7FA}"/>
                </c:ext>
              </c:extLst>
            </c:dLbl>
            <c:dLbl>
              <c:idx val="25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84A0-4CD7-987F-A12DB1E1E7FA}"/>
                </c:ext>
              </c:extLst>
            </c:dLbl>
            <c:dLbl>
              <c:idx val="26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4A0-4CD7-987F-A12DB1E1E7FA}"/>
                </c:ext>
              </c:extLst>
            </c:dLbl>
            <c:dLbl>
              <c:idx val="27"/>
              <c:layout>
                <c:manualLayout>
                  <c:x val="-1.5048908954100828E-2"/>
                  <c:y val="1.785714285714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84A0-4CD7-987F-A12DB1E1E7FA}"/>
                </c:ext>
              </c:extLst>
            </c:dLbl>
            <c:dLbl>
              <c:idx val="28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84A0-4CD7-987F-A12DB1E1E7FA}"/>
                </c:ext>
              </c:extLst>
            </c:dLbl>
            <c:dLbl>
              <c:idx val="29"/>
              <c:layout>
                <c:manualLayout>
                  <c:x val="-4.8848758465011285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84A0-4CD7-987F-A12DB1E1E7FA}"/>
                </c:ext>
              </c:extLst>
            </c:dLbl>
            <c:dLbl>
              <c:idx val="30"/>
              <c:layout>
                <c:manualLayout>
                  <c:x val="-1.5048908954100828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84A0-4CD7-987F-A12DB1E1E7FA}"/>
                </c:ext>
              </c:extLst>
            </c:dLbl>
            <c:dLbl>
              <c:idx val="31"/>
              <c:layout>
                <c:manualLayout>
                  <c:x val="-1.5048908954100828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84A0-4CD7-987F-A12DB1E1E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XLSTAT_20230403_150129_1_HID2!$A$1:$A$32</c:f>
              <c:numCache>
                <c:formatCode>General</c:formatCode>
                <c:ptCount val="32"/>
                <c:pt idx="0">
                  <c:v>-1.1176002470421291</c:v>
                </c:pt>
                <c:pt idx="1">
                  <c:v>3.0894935724065098</c:v>
                </c:pt>
                <c:pt idx="2">
                  <c:v>-2.1629977612269609</c:v>
                </c:pt>
                <c:pt idx="3">
                  <c:v>1.4021524395576326</c:v>
                </c:pt>
                <c:pt idx="4">
                  <c:v>-1.9140849749815498</c:v>
                </c:pt>
                <c:pt idx="5">
                  <c:v>-1.9014350450250272</c:v>
                </c:pt>
                <c:pt idx="6">
                  <c:v>1.1707818361686668</c:v>
                </c:pt>
                <c:pt idx="7">
                  <c:v>0.50180113120308489</c:v>
                </c:pt>
                <c:pt idx="8">
                  <c:v>-0.75227861258493911</c:v>
                </c:pt>
                <c:pt idx="9">
                  <c:v>3.4712157713407494</c:v>
                </c:pt>
                <c:pt idx="10">
                  <c:v>-3.4982723256383168</c:v>
                </c:pt>
                <c:pt idx="11">
                  <c:v>-0.33884205648649224</c:v>
                </c:pt>
                <c:pt idx="12">
                  <c:v>-3.0382376839576515</c:v>
                </c:pt>
                <c:pt idx="13">
                  <c:v>4.5165582563532061</c:v>
                </c:pt>
                <c:pt idx="14">
                  <c:v>-4.5296208242017819</c:v>
                </c:pt>
                <c:pt idx="15">
                  <c:v>0.88141483749165461</c:v>
                </c:pt>
                <c:pt idx="16">
                  <c:v>-4.4923622347060208</c:v>
                </c:pt>
                <c:pt idx="17">
                  <c:v>-0.66593799005466559</c:v>
                </c:pt>
                <c:pt idx="18">
                  <c:v>0.20494769071710739</c:v>
                </c:pt>
                <c:pt idx="19">
                  <c:v>2.352526003651084</c:v>
                </c:pt>
                <c:pt idx="20">
                  <c:v>-0.36283972655382851</c:v>
                </c:pt>
                <c:pt idx="21">
                  <c:v>-0.13291362524973344</c:v>
                </c:pt>
                <c:pt idx="22">
                  <c:v>1.2466414185530392</c:v>
                </c:pt>
                <c:pt idx="23">
                  <c:v>3.9019553312626472</c:v>
                </c:pt>
                <c:pt idx="24">
                  <c:v>-2.9202550300801864</c:v>
                </c:pt>
                <c:pt idx="25">
                  <c:v>0.6841091920078004</c:v>
                </c:pt>
                <c:pt idx="26">
                  <c:v>0.74190707929237643</c:v>
                </c:pt>
                <c:pt idx="27">
                  <c:v>0.44571086349096817</c:v>
                </c:pt>
                <c:pt idx="28">
                  <c:v>2.1253277635105863</c:v>
                </c:pt>
                <c:pt idx="29">
                  <c:v>-4.1004400570503217</c:v>
                </c:pt>
                <c:pt idx="30">
                  <c:v>0.16168363034357591</c:v>
                </c:pt>
                <c:pt idx="31">
                  <c:v>5.0298913774889069</c:v>
                </c:pt>
              </c:numCache>
            </c:numRef>
          </c:xVal>
          <c:yVal>
            <c:numRef>
              <c:f>XLSTAT_20230403_150129_1_HID2!$B$1:$B$32</c:f>
              <c:numCache>
                <c:formatCode>General</c:formatCode>
                <c:ptCount val="32"/>
                <c:pt idx="0">
                  <c:v>-1.6378658582153469</c:v>
                </c:pt>
                <c:pt idx="1">
                  <c:v>0.48011712822909192</c:v>
                </c:pt>
                <c:pt idx="2">
                  <c:v>0.41146424321119507</c:v>
                </c:pt>
                <c:pt idx="3">
                  <c:v>4.5532453733567442</c:v>
                </c:pt>
                <c:pt idx="4">
                  <c:v>0.17483364772030288</c:v>
                </c:pt>
                <c:pt idx="5">
                  <c:v>-0.10706883214033636</c:v>
                </c:pt>
                <c:pt idx="6">
                  <c:v>-1.8397484398285442</c:v>
                </c:pt>
                <c:pt idx="7">
                  <c:v>1.3049308107389876</c:v>
                </c:pt>
                <c:pt idx="8">
                  <c:v>-1.2959625615354788</c:v>
                </c:pt>
                <c:pt idx="9">
                  <c:v>0.77873521974909854</c:v>
                </c:pt>
                <c:pt idx="10">
                  <c:v>0.82830230233691415</c:v>
                </c:pt>
                <c:pt idx="11">
                  <c:v>1.115011231659617</c:v>
                </c:pt>
                <c:pt idx="12">
                  <c:v>0.41268394667183661</c:v>
                </c:pt>
                <c:pt idx="13">
                  <c:v>0.37682216697577064</c:v>
                </c:pt>
                <c:pt idx="14">
                  <c:v>-0.63061061317440137</c:v>
                </c:pt>
                <c:pt idx="15">
                  <c:v>-1.747542868918379</c:v>
                </c:pt>
                <c:pt idx="16">
                  <c:v>0.562069049140838</c:v>
                </c:pt>
                <c:pt idx="17">
                  <c:v>5.5140288063958265E-2</c:v>
                </c:pt>
                <c:pt idx="18">
                  <c:v>1.7229866433375445</c:v>
                </c:pt>
                <c:pt idx="19">
                  <c:v>2.7991740018013331</c:v>
                </c:pt>
                <c:pt idx="20">
                  <c:v>-4.04784655512338E-2</c:v>
                </c:pt>
                <c:pt idx="21">
                  <c:v>-1.2358437079294931</c:v>
                </c:pt>
                <c:pt idx="22">
                  <c:v>4.8758071058874339</c:v>
                </c:pt>
                <c:pt idx="23">
                  <c:v>-3.2621190106651703</c:v>
                </c:pt>
                <c:pt idx="24">
                  <c:v>0.32762988391041126</c:v>
                </c:pt>
                <c:pt idx="25">
                  <c:v>-1.6926700865099673</c:v>
                </c:pt>
                <c:pt idx="26">
                  <c:v>-2.6502988188423982</c:v>
                </c:pt>
                <c:pt idx="27">
                  <c:v>-1.275136473148772</c:v>
                </c:pt>
                <c:pt idx="28">
                  <c:v>-3.2722481023752765</c:v>
                </c:pt>
                <c:pt idx="29">
                  <c:v>-0.64285116582641355</c:v>
                </c:pt>
                <c:pt idx="30">
                  <c:v>0.21691574932041618</c:v>
                </c:pt>
                <c:pt idx="31">
                  <c:v>0.33457621254971759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0-4CD7-987F-A12DB1E1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974959"/>
        <c:axId val="1300977519"/>
      </c:scatterChart>
      <c:valAx>
        <c:axId val="144197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F1 (33.18 %)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00977519"/>
        <c:crosses val="autoZero"/>
        <c:crossBetween val="midCat"/>
      </c:valAx>
      <c:valAx>
        <c:axId val="13009775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F2 (17.58 %)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144197495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CA"/>
              <a:t>Biplot (axes F1 and F2: 50.77 %)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048908954100828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Cost per Patient-day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C71-4C1A-BFCE-853FC8CE8F5A}"/>
                </c:ext>
              </c:extLst>
            </c:dLbl>
            <c:dLbl>
              <c:idx val="1"/>
              <c:layout>
                <c:manualLayout>
                  <c:x val="-1.5048908954100939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Surgical Cases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C71-4C1A-BFCE-853FC8CE8F5A}"/>
                </c:ext>
              </c:extLst>
            </c:dLbl>
            <c:dLbl>
              <c:idx val="2"/>
              <c:layout>
                <c:manualLayout>
                  <c:x val="-1.5048908954100855E-2"/>
                  <c:y val="1.78571428571429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Death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C71-4C1A-BFCE-853FC8CE8F5A}"/>
                </c:ext>
              </c:extLst>
            </c:dLbl>
            <c:dLbl>
              <c:idx val="3"/>
              <c:layout>
                <c:manualLayout>
                  <c:x val="-1.5048908954100828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Cardiac Arrest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C71-4C1A-BFCE-853FC8CE8F5A}"/>
                </c:ext>
              </c:extLst>
            </c:dLbl>
            <c:dLbl>
              <c:idx val="4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Post-Surgery AMI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C71-4C1A-BFCE-853FC8CE8F5A}"/>
                </c:ext>
              </c:extLst>
            </c:dLbl>
            <c:dLbl>
              <c:idx val="5"/>
              <c:layout>
                <c:manualLayout>
                  <c:x val="-1.5048908954100883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Surgical Site Infections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C71-4C1A-BFCE-853FC8CE8F5A}"/>
                </c:ext>
              </c:extLst>
            </c:dLbl>
            <c:dLbl>
              <c:idx val="6"/>
              <c:layout>
                <c:manualLayout>
                  <c:x val="-1.5048908954100883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Sepsis 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C71-4C1A-BFCE-853FC8CE8F5A}"/>
                </c:ext>
              </c:extLst>
            </c:dLbl>
            <c:dLbl>
              <c:idx val="7"/>
              <c:layout>
                <c:manualLayout>
                  <c:x val="-1.5048908954100883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C-Section 
Rate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C71-4C1A-BFCE-853FC8CE8F5A}"/>
                </c:ext>
              </c:extLst>
            </c:dLbl>
            <c:dLbl>
              <c:idx val="8"/>
              <c:layout>
                <c:manualLayout>
                  <c:x val="-1.5048908954100939E-2"/>
                  <c:y val="1.78571428571429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Total Medical Inpatient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C71-4C1A-BFCE-853FC8CE8F5A}"/>
                </c:ext>
              </c:extLst>
            </c:dLbl>
            <c:dLbl>
              <c:idx val="9"/>
              <c:layout>
                <c:manualLayout>
                  <c:x val="-1.5048908954100828E-2"/>
                  <c:y val="1.785714285714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Medical 
ALC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C71-4C1A-BFCE-853FC8CE8F5A}"/>
                </c:ext>
              </c:extLst>
            </c:dLbl>
            <c:dLbl>
              <c:idx val="10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Total Surgical Inpatient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C71-4C1A-BFCE-853FC8CE8F5A}"/>
                </c:ext>
              </c:extLst>
            </c:dLbl>
            <c:dLbl>
              <c:idx val="11"/>
              <c:layout>
                <c:manualLayout>
                  <c:x val="-1.5048908954100828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Surgical ALC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C71-4C1A-BFCE-853FC8CE8F5A}"/>
                </c:ext>
              </c:extLst>
            </c:dLbl>
            <c:dLbl>
              <c:idx val="12"/>
              <c:layout>
                <c:manualLayout>
                  <c:x val="-1.5048908954100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Total Mental Health Inpatient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C71-4C1A-BFCE-853FC8CE8F5A}"/>
                </c:ext>
              </c:extLst>
            </c:dLbl>
            <c:dLbl>
              <c:idx val="13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Mental Health ALC Days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C71-4C1A-BFCE-853FC8CE8F5A}"/>
                </c:ext>
              </c:extLst>
            </c:dLbl>
            <c:dLbl>
              <c:idx val="14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Hip Fracture Cases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C71-4C1A-BFCE-853FC8CE8F5A}"/>
                </c:ext>
              </c:extLst>
            </c:dLbl>
            <c:dLbl>
              <c:idx val="15"/>
              <c:layout>
                <c:manualLayout>
                  <c:x val="-1.5048908954100828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Hip Fracture Cases with Surgery in 24h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C71-4C1A-BFCE-853FC8CE8F5A}"/>
                </c:ext>
              </c:extLst>
            </c:dLbl>
            <c:dLbl>
              <c:idx val="16"/>
              <c:layout>
                <c:manualLayout>
                  <c:x val="-1.5048908954100855E-2"/>
                  <c:y val="-3.1746031746031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Median ED Delay (Hours)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C71-4C1A-BFCE-853FC8CE8F5A}"/>
                </c:ext>
              </c:extLst>
            </c:dLbl>
            <c:dLbl>
              <c:idx val="17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Actual Cases with ED delay &gt;= 2 Hours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C71-4C1A-BFCE-853FC8CE8F5A}"/>
                </c:ext>
              </c:extLst>
            </c:dLbl>
            <c:dLbl>
              <c:idx val="18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Actual Cases with ED delay &gt;=4 Hours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C71-4C1A-BFCE-853FC8CE8F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4A46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XLSTAT_20230403_150129_1_HID3!$A$1:$A$19</c:f>
              <c:numCache>
                <c:formatCode>General</c:formatCode>
                <c:ptCount val="19"/>
                <c:pt idx="0">
                  <c:v>2.381765148736533</c:v>
                </c:pt>
                <c:pt idx="1">
                  <c:v>4.0239131019911261</c:v>
                </c:pt>
                <c:pt idx="2">
                  <c:v>0.74500703044509109</c:v>
                </c:pt>
                <c:pt idx="3">
                  <c:v>0.51946235798049156</c:v>
                </c:pt>
                <c:pt idx="4">
                  <c:v>1.3388385697675587</c:v>
                </c:pt>
                <c:pt idx="5">
                  <c:v>2.1585815505187131</c:v>
                </c:pt>
                <c:pt idx="6">
                  <c:v>2.8407697151660241</c:v>
                </c:pt>
                <c:pt idx="7">
                  <c:v>1.955108840186002</c:v>
                </c:pt>
                <c:pt idx="8">
                  <c:v>3.7468335371931123</c:v>
                </c:pt>
                <c:pt idx="9">
                  <c:v>3.1509455533558191</c:v>
                </c:pt>
                <c:pt idx="10">
                  <c:v>3.9696679840481353</c:v>
                </c:pt>
                <c:pt idx="11">
                  <c:v>3.6736095912238187</c:v>
                </c:pt>
                <c:pt idx="12">
                  <c:v>1.0158224335458592</c:v>
                </c:pt>
                <c:pt idx="13">
                  <c:v>1.3374952133108395</c:v>
                </c:pt>
                <c:pt idx="14">
                  <c:v>2.8217872643452142</c:v>
                </c:pt>
                <c:pt idx="15">
                  <c:v>1.9458302462799686</c:v>
                </c:pt>
                <c:pt idx="16">
                  <c:v>0.50796194659860994</c:v>
                </c:pt>
                <c:pt idx="17">
                  <c:v>1.5763912254427226</c:v>
                </c:pt>
                <c:pt idx="18">
                  <c:v>1.6065917501224087</c:v>
                </c:pt>
              </c:numCache>
            </c:numRef>
          </c:xVal>
          <c:yVal>
            <c:numRef>
              <c:f>XLSTAT_20230403_150129_1_HID3!$B$1:$B$19</c:f>
              <c:numCache>
                <c:formatCode>General</c:formatCode>
                <c:ptCount val="19"/>
                <c:pt idx="0">
                  <c:v>0.46504218071130593</c:v>
                </c:pt>
                <c:pt idx="1">
                  <c:v>1.2269843656070934E-3</c:v>
                </c:pt>
                <c:pt idx="2">
                  <c:v>-0.51500753972398328</c:v>
                </c:pt>
                <c:pt idx="3">
                  <c:v>-1.2264387167651405</c:v>
                </c:pt>
                <c:pt idx="4">
                  <c:v>0.18843383326313831</c:v>
                </c:pt>
                <c:pt idx="5">
                  <c:v>4.0444671190562276E-2</c:v>
                </c:pt>
                <c:pt idx="6">
                  <c:v>2.5341852923566077</c:v>
                </c:pt>
                <c:pt idx="7">
                  <c:v>-0.24877702557746745</c:v>
                </c:pt>
                <c:pt idx="8">
                  <c:v>-0.71508520781080531</c:v>
                </c:pt>
                <c:pt idx="9">
                  <c:v>-1.3237517787309145</c:v>
                </c:pt>
                <c:pt idx="10">
                  <c:v>-0.53689289467628953</c:v>
                </c:pt>
                <c:pt idx="11">
                  <c:v>4.5062950286814306E-2</c:v>
                </c:pt>
                <c:pt idx="12">
                  <c:v>-3.7404294137628651</c:v>
                </c:pt>
                <c:pt idx="13">
                  <c:v>-3.8209440091759519</c:v>
                </c:pt>
                <c:pt idx="14">
                  <c:v>-1.5076606545693747</c:v>
                </c:pt>
                <c:pt idx="15">
                  <c:v>-1.5509608512926505</c:v>
                </c:pt>
                <c:pt idx="16">
                  <c:v>4.7787131501108586</c:v>
                </c:pt>
                <c:pt idx="17">
                  <c:v>4.8544321603099423</c:v>
                </c:pt>
                <c:pt idx="18">
                  <c:v>4.8391372277218512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C1A-BFCE-853FC8CE8F5A}"/>
            </c:ext>
          </c:extLst>
        </c:ser>
        <c:ser>
          <c:idx val="1"/>
          <c:order val="1"/>
          <c:tx>
            <c:v>Active observations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2287434161023325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C71-4C1A-BFCE-853FC8CE8F5A}"/>
                </c:ext>
              </c:extLst>
            </c:dLbl>
            <c:dLbl>
              <c:idx val="1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C71-4C1A-BFCE-853FC8CE8F5A}"/>
                </c:ext>
              </c:extLst>
            </c:dLbl>
            <c:dLbl>
              <c:idx val="2"/>
              <c:layout>
                <c:manualLayout>
                  <c:x val="-5.3513920240782546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C71-4C1A-BFCE-853FC8CE8F5A}"/>
                </c:ext>
              </c:extLst>
            </c:dLbl>
            <c:dLbl>
              <c:idx val="3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C71-4C1A-BFCE-853FC8CE8F5A}"/>
                </c:ext>
              </c:extLst>
            </c:dLbl>
            <c:dLbl>
              <c:idx val="4"/>
              <c:layout>
                <c:manualLayout>
                  <c:x val="-5.2580887885628293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C71-4C1A-BFCE-853FC8CE8F5A}"/>
                </c:ext>
              </c:extLst>
            </c:dLbl>
            <c:dLbl>
              <c:idx val="5"/>
              <c:layout>
                <c:manualLayout>
                  <c:x val="-5.1964001113856254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C71-4C1A-BFCE-853FC8CE8F5A}"/>
                </c:ext>
              </c:extLst>
            </c:dLbl>
            <c:dLbl>
              <c:idx val="6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C71-4C1A-BFCE-853FC8CE8F5A}"/>
                </c:ext>
              </c:extLst>
            </c:dLbl>
            <c:dLbl>
              <c:idx val="7"/>
              <c:layout>
                <c:manualLayout>
                  <c:x val="-1.5048908954100883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C71-4C1A-BFCE-853FC8CE8F5A}"/>
                </c:ext>
              </c:extLst>
            </c:dLbl>
            <c:dLbl>
              <c:idx val="8"/>
              <c:layout>
                <c:manualLayout>
                  <c:x val="-4.759958052647488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AI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6C71-4C1A-BFCE-853FC8CE8F5A}"/>
                </c:ext>
              </c:extLst>
            </c:dLbl>
            <c:dLbl>
              <c:idx val="9"/>
              <c:layout>
                <c:manualLayout>
                  <c:x val="-1.5048908954100828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AJ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C71-4C1A-BFCE-853FC8CE8F5A}"/>
                </c:ext>
              </c:extLst>
            </c:dLbl>
            <c:dLbl>
              <c:idx val="10"/>
              <c:layout>
                <c:manualLayout>
                  <c:x val="-4.1565086531226487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C71-4C1A-BFCE-853FC8CE8F5A}"/>
                </c:ext>
              </c:extLst>
            </c:dLbl>
            <c:dLbl>
              <c:idx val="11"/>
              <c:layout>
                <c:manualLayout>
                  <c:x val="-4.1324303987960873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6C71-4C1A-BFCE-853FC8CE8F5A}"/>
                </c:ext>
              </c:extLst>
            </c:dLbl>
            <c:dLbl>
              <c:idx val="12"/>
              <c:layout>
                <c:manualLayout>
                  <c:x val="-4.3055047013028591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C71-4C1A-BFCE-853FC8CE8F5A}"/>
                </c:ext>
              </c:extLst>
            </c:dLbl>
            <c:dLbl>
              <c:idx val="13"/>
              <c:layout>
                <c:manualLayout>
                  <c:x val="-1.5048908954100939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6C71-4C1A-BFCE-853FC8CE8F5A}"/>
                </c:ext>
              </c:extLst>
            </c:dLbl>
            <c:dLbl>
              <c:idx val="14"/>
              <c:layout>
                <c:manualLayout>
                  <c:x val="-3.9774147870342391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6C71-4C1A-BFCE-853FC8CE8F5A}"/>
                </c:ext>
              </c:extLst>
            </c:dLbl>
            <c:dLbl>
              <c:idx val="15"/>
              <c:layout>
                <c:manualLayout>
                  <c:x val="-1.5048908954100883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C71-4C1A-BFCE-853FC8CE8F5A}"/>
                </c:ext>
              </c:extLst>
            </c:dLbl>
            <c:dLbl>
              <c:idx val="16"/>
              <c:layout>
                <c:manualLayout>
                  <c:x val="-4.3220466516177579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6C71-4C1A-BFCE-853FC8CE8F5A}"/>
                </c:ext>
              </c:extLst>
            </c:dLbl>
            <c:dLbl>
              <c:idx val="17"/>
              <c:layout>
                <c:manualLayout>
                  <c:x val="-3.6809631301730622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6C71-4C1A-BFCE-853FC8CE8F5A}"/>
                </c:ext>
              </c:extLst>
            </c:dLbl>
            <c:dLbl>
              <c:idx val="18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6C71-4C1A-BFCE-853FC8CE8F5A}"/>
                </c:ext>
              </c:extLst>
            </c:dLbl>
            <c:dLbl>
              <c:idx val="19"/>
              <c:layout>
                <c:manualLayout>
                  <c:x val="-1.5048908954100883E-2"/>
                  <c:y val="-3.17460317460317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C71-4C1A-BFCE-853FC8CE8F5A}"/>
                </c:ext>
              </c:extLst>
            </c:dLbl>
            <c:dLbl>
              <c:idx val="20"/>
              <c:layout>
                <c:manualLayout>
                  <c:x val="-4.3702031602708802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6C71-4C1A-BFCE-853FC8CE8F5A}"/>
                </c:ext>
              </c:extLst>
            </c:dLbl>
            <c:dLbl>
              <c:idx val="21"/>
              <c:layout>
                <c:manualLayout>
                  <c:x val="-4.4048038013307027E-2"/>
                  <c:y val="1.785714285714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6C71-4C1A-BFCE-853FC8CE8F5A}"/>
                </c:ext>
              </c:extLst>
            </c:dLbl>
            <c:dLbl>
              <c:idx val="22"/>
              <c:layout>
                <c:manualLayout>
                  <c:x val="-1.5048908954100883E-2"/>
                  <c:y val="-3.17460317460317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C71-4C1A-BFCE-853FC8CE8F5A}"/>
                </c:ext>
              </c:extLst>
            </c:dLbl>
            <c:dLbl>
              <c:idx val="23"/>
              <c:layout>
                <c:manualLayout>
                  <c:x val="-1.5048908954100772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6C71-4C1A-BFCE-853FC8CE8F5A}"/>
                </c:ext>
              </c:extLst>
            </c:dLbl>
            <c:dLbl>
              <c:idx val="24"/>
              <c:layout>
                <c:manualLayout>
                  <c:x val="-4.1534988713318337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6C71-4C1A-BFCE-853FC8CE8F5A}"/>
                </c:ext>
              </c:extLst>
            </c:dLbl>
            <c:dLbl>
              <c:idx val="25"/>
              <c:layout>
                <c:manualLayout>
                  <c:x val="-1.5048908954100883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6C71-4C1A-BFCE-853FC8CE8F5A}"/>
                </c:ext>
              </c:extLst>
            </c:dLbl>
            <c:dLbl>
              <c:idx val="26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6C71-4C1A-BFCE-853FC8CE8F5A}"/>
                </c:ext>
              </c:extLst>
            </c:dLbl>
            <c:dLbl>
              <c:idx val="27"/>
              <c:layout>
                <c:manualLayout>
                  <c:x val="-1.5048908954100883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6C71-4C1A-BFCE-853FC8CE8F5A}"/>
                </c:ext>
              </c:extLst>
            </c:dLbl>
            <c:dLbl>
              <c:idx val="28"/>
              <c:layout>
                <c:manualLayout>
                  <c:x val="-1.5048908954100828E-2"/>
                  <c:y val="1.78571428571428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6C71-4C1A-BFCE-853FC8CE8F5A}"/>
                </c:ext>
              </c:extLst>
            </c:dLbl>
            <c:dLbl>
              <c:idx val="29"/>
              <c:layout>
                <c:manualLayout>
                  <c:x val="-4.8848758465011285E-2"/>
                  <c:y val="1.785714285714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6C71-4C1A-BFCE-853FC8CE8F5A}"/>
                </c:ext>
              </c:extLst>
            </c:dLbl>
            <c:dLbl>
              <c:idx val="30"/>
              <c:layout>
                <c:manualLayout>
                  <c:x val="-1.5048908954100883E-2"/>
                  <c:y val="-3.17460317460318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6C71-4C1A-BFCE-853FC8CE8F5A}"/>
                </c:ext>
              </c:extLst>
            </c:dLbl>
            <c:dLbl>
              <c:idx val="31"/>
              <c:layout>
                <c:manualLayout>
                  <c:x val="-1.5048908954100828E-2"/>
                  <c:y val="-3.17460317460317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6C71-4C1A-BFCE-853FC8CE8F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XLSTAT_20230403_150129_1_HID3!$C$1:$C$32</c:f>
              <c:numCache>
                <c:formatCode>General</c:formatCode>
                <c:ptCount val="32"/>
                <c:pt idx="0">
                  <c:v>-1.1176002470421291</c:v>
                </c:pt>
                <c:pt idx="1">
                  <c:v>3.0894935724065098</c:v>
                </c:pt>
                <c:pt idx="2">
                  <c:v>-2.1629977612269609</c:v>
                </c:pt>
                <c:pt idx="3">
                  <c:v>1.4021524395576326</c:v>
                </c:pt>
                <c:pt idx="4">
                  <c:v>-1.9140849749815498</c:v>
                </c:pt>
                <c:pt idx="5">
                  <c:v>-1.9014350450250272</c:v>
                </c:pt>
                <c:pt idx="6">
                  <c:v>1.1707818361686668</c:v>
                </c:pt>
                <c:pt idx="7">
                  <c:v>0.50180113120308489</c:v>
                </c:pt>
                <c:pt idx="8">
                  <c:v>-0.75227861258493911</c:v>
                </c:pt>
                <c:pt idx="9">
                  <c:v>3.4712157713407494</c:v>
                </c:pt>
                <c:pt idx="10">
                  <c:v>-3.4982723256383168</c:v>
                </c:pt>
                <c:pt idx="11">
                  <c:v>-0.33884205648649224</c:v>
                </c:pt>
                <c:pt idx="12">
                  <c:v>-3.0382376839576515</c:v>
                </c:pt>
                <c:pt idx="13">
                  <c:v>4.5165582563532061</c:v>
                </c:pt>
                <c:pt idx="14">
                  <c:v>-4.5296208242017819</c:v>
                </c:pt>
                <c:pt idx="15">
                  <c:v>0.88141483749165461</c:v>
                </c:pt>
                <c:pt idx="16">
                  <c:v>-4.4923622347060208</c:v>
                </c:pt>
                <c:pt idx="17">
                  <c:v>-0.66593799005466559</c:v>
                </c:pt>
                <c:pt idx="18">
                  <c:v>0.20494769071710739</c:v>
                </c:pt>
                <c:pt idx="19">
                  <c:v>2.352526003651084</c:v>
                </c:pt>
                <c:pt idx="20">
                  <c:v>-0.36283972655382851</c:v>
                </c:pt>
                <c:pt idx="21">
                  <c:v>-0.13291362524973344</c:v>
                </c:pt>
                <c:pt idx="22">
                  <c:v>1.2466414185530392</c:v>
                </c:pt>
                <c:pt idx="23">
                  <c:v>3.9019553312626472</c:v>
                </c:pt>
                <c:pt idx="24">
                  <c:v>-2.9202550300801864</c:v>
                </c:pt>
                <c:pt idx="25">
                  <c:v>0.6841091920078004</c:v>
                </c:pt>
                <c:pt idx="26">
                  <c:v>0.74190707929237643</c:v>
                </c:pt>
                <c:pt idx="27">
                  <c:v>0.44571086349096817</c:v>
                </c:pt>
                <c:pt idx="28">
                  <c:v>2.1253277635105863</c:v>
                </c:pt>
                <c:pt idx="29">
                  <c:v>-4.1004400570503217</c:v>
                </c:pt>
                <c:pt idx="30">
                  <c:v>0.16168363034357591</c:v>
                </c:pt>
                <c:pt idx="31">
                  <c:v>5.0298913774889069</c:v>
                </c:pt>
              </c:numCache>
            </c:numRef>
          </c:xVal>
          <c:yVal>
            <c:numRef>
              <c:f>XLSTAT_20230403_150129_1_HID3!$D$1:$D$32</c:f>
              <c:numCache>
                <c:formatCode>General</c:formatCode>
                <c:ptCount val="32"/>
                <c:pt idx="0">
                  <c:v>-1.6378658582153469</c:v>
                </c:pt>
                <c:pt idx="1">
                  <c:v>0.48011712822909192</c:v>
                </c:pt>
                <c:pt idx="2">
                  <c:v>0.41146424321119507</c:v>
                </c:pt>
                <c:pt idx="3">
                  <c:v>4.5532453733567442</c:v>
                </c:pt>
                <c:pt idx="4">
                  <c:v>0.17483364772030288</c:v>
                </c:pt>
                <c:pt idx="5">
                  <c:v>-0.10706883214033636</c:v>
                </c:pt>
                <c:pt idx="6">
                  <c:v>-1.8397484398285442</c:v>
                </c:pt>
                <c:pt idx="7">
                  <c:v>1.3049308107389876</c:v>
                </c:pt>
                <c:pt idx="8">
                  <c:v>-1.2959625615354788</c:v>
                </c:pt>
                <c:pt idx="9">
                  <c:v>0.77873521974909854</c:v>
                </c:pt>
                <c:pt idx="10">
                  <c:v>0.82830230233691415</c:v>
                </c:pt>
                <c:pt idx="11">
                  <c:v>1.115011231659617</c:v>
                </c:pt>
                <c:pt idx="12">
                  <c:v>0.41268394667183661</c:v>
                </c:pt>
                <c:pt idx="13">
                  <c:v>0.37682216697577064</c:v>
                </c:pt>
                <c:pt idx="14">
                  <c:v>-0.63061061317440137</c:v>
                </c:pt>
                <c:pt idx="15">
                  <c:v>-1.747542868918379</c:v>
                </c:pt>
                <c:pt idx="16">
                  <c:v>0.562069049140838</c:v>
                </c:pt>
                <c:pt idx="17">
                  <c:v>5.5140288063958265E-2</c:v>
                </c:pt>
                <c:pt idx="18">
                  <c:v>1.7229866433375445</c:v>
                </c:pt>
                <c:pt idx="19">
                  <c:v>2.7991740018013331</c:v>
                </c:pt>
                <c:pt idx="20">
                  <c:v>-4.04784655512338E-2</c:v>
                </c:pt>
                <c:pt idx="21">
                  <c:v>-1.2358437079294931</c:v>
                </c:pt>
                <c:pt idx="22">
                  <c:v>4.8758071058874339</c:v>
                </c:pt>
                <c:pt idx="23">
                  <c:v>-3.2621190106651703</c:v>
                </c:pt>
                <c:pt idx="24">
                  <c:v>0.32762988391041126</c:v>
                </c:pt>
                <c:pt idx="25">
                  <c:v>-1.6926700865099673</c:v>
                </c:pt>
                <c:pt idx="26">
                  <c:v>-2.6502988188423982</c:v>
                </c:pt>
                <c:pt idx="27">
                  <c:v>-1.275136473148772</c:v>
                </c:pt>
                <c:pt idx="28">
                  <c:v>-3.2722481023752765</c:v>
                </c:pt>
                <c:pt idx="29">
                  <c:v>-0.64285116582641355</c:v>
                </c:pt>
                <c:pt idx="30">
                  <c:v>0.21691574932041618</c:v>
                </c:pt>
                <c:pt idx="31">
                  <c:v>0.33457621254971759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C71-4C1A-BFCE-853FC8CE8F5A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2.381765148736533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0.46504218071130593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5-6C71-4C1A-BFCE-853FC8CE8F5A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4.0239131019911261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1.2269843656070934E-3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6-6C71-4C1A-BFCE-853FC8CE8F5A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0.74500703044509109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-0.51500753972398328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6C71-4C1A-BFCE-853FC8CE8F5A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0.51946235798049156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-1.2264387167651405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8-6C71-4C1A-BFCE-853FC8CE8F5A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1.3388385697675587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0.18843383326313831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9-6C71-4C1A-BFCE-853FC8CE8F5A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2.1585815505187131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4.0444671190562276E-2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A-6C71-4C1A-BFCE-853FC8CE8F5A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2.8407697151660241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2.5341852923566077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B-6C71-4C1A-BFCE-853FC8CE8F5A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1.955108840186002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-0.24877702557746745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C-6C71-4C1A-BFCE-853FC8CE8F5A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3.7468335371931123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-0.71508520781080531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D-6C71-4C1A-BFCE-853FC8CE8F5A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3.1509455533558191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-1.3237517787309145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E-6C71-4C1A-BFCE-853FC8CE8F5A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3.9696679840481353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-0.53689289467628953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F-6C71-4C1A-BFCE-853FC8CE8F5A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3.6736095912238187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4.5062950286814306E-2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0-6C71-4C1A-BFCE-853FC8CE8F5A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1.0158224335458592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-3.7404294137628651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1-6C71-4C1A-BFCE-853FC8CE8F5A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1.3374952133108395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-3.8209440091759519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2-6C71-4C1A-BFCE-853FC8CE8F5A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2.8217872643452142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-1.5076606545693747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3-6C71-4C1A-BFCE-853FC8CE8F5A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1.9458302462799686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-1.5509608512926505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4-6C71-4C1A-BFCE-853FC8CE8F5A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0.50796194659860994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4.7787131501108586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5-6C71-4C1A-BFCE-853FC8CE8F5A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1.5763912254427226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4.8544321603099423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6-6C71-4C1A-BFCE-853FC8CE8F5A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1.6065917501224087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4.8391372277218512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7-6C71-4C1A-BFCE-853FC8CE8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96895"/>
        <c:axId val="1383314015"/>
      </c:scatterChart>
      <c:valAx>
        <c:axId val="1986496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F1 (33.18 %)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83314015"/>
        <c:crosses val="autoZero"/>
        <c:crossBetween val="midCat"/>
      </c:valAx>
      <c:valAx>
        <c:axId val="13833140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F2 (17.58 %)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19864968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CA"/>
              <a:t>Axes homogeneity index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PCA!$B$349:$B$353</c:f>
              <c:strCache>
                <c:ptCount val="5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</c:strCache>
            </c:strRef>
          </c:cat>
          <c:val>
            <c:numRef>
              <c:f>PCA!$C$349:$C$353</c:f>
              <c:numCache>
                <c:formatCode>0.000</c:formatCode>
                <c:ptCount val="5"/>
                <c:pt idx="0">
                  <c:v>0.34375000000000006</c:v>
                </c:pt>
                <c:pt idx="1">
                  <c:v>0.21874999999999997</c:v>
                </c:pt>
                <c:pt idx="2">
                  <c:v>0.21875000000000003</c:v>
                </c:pt>
                <c:pt idx="3">
                  <c:v>0.31250000000000006</c:v>
                </c:pt>
                <c:pt idx="4">
                  <c:v>0.34375000000000011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3-4EF4-A9C7-41FB8970A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83436255"/>
        <c:axId val="646613759"/>
      </c:barChart>
      <c:catAx>
        <c:axId val="1883436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axis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46613759"/>
        <c:crosses val="autoZero"/>
        <c:auto val="1"/>
        <c:lblAlgn val="ctr"/>
        <c:lblOffset val="100"/>
        <c:noMultiLvlLbl val="0"/>
      </c:catAx>
      <c:valAx>
        <c:axId val="64661375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88343625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G$3" lockText="1"/>
</file>

<file path=xl/ctrlProps/ctrlProp2.xml><?xml version="1.0" encoding="utf-8"?>
<formControlPr xmlns="http://schemas.microsoft.com/office/spreadsheetml/2009/9/main" objectType="CheckBox" checked="Checked" fmlaLink="$G$4" lockText="1"/>
</file>

<file path=xl/ctrlProps/ctrlProp3.xml><?xml version="1.0" encoding="utf-8"?>
<formControlPr xmlns="http://schemas.microsoft.com/office/spreadsheetml/2009/9/main" objectType="CheckBox" fmlaLink="$G$5" lockText="1"/>
</file>

<file path=xl/ctrlProps/ctrlProp4.xml><?xml version="1.0" encoding="utf-8"?>
<formControlPr xmlns="http://schemas.microsoft.com/office/spreadsheetml/2009/9/main" objectType="CheckBox" fmlaLink="$G$6" lockText="1"/>
</file>

<file path=xl/ctrlProps/ctrlProp5.xml><?xml version="1.0" encoding="utf-8"?>
<formControlPr xmlns="http://schemas.microsoft.com/office/spreadsheetml/2009/9/main" objectType="CheckBox" fmlaLink="$G$7" lockText="1"/>
</file>

<file path=xl/ctrlProps/ctrlProp6.xml><?xml version="1.0" encoding="utf-8"?>
<formControlPr xmlns="http://schemas.microsoft.com/office/spreadsheetml/2009/9/main" objectType="CheckBox" fmlaLink="$G$8" lockText="1"/>
</file>

<file path=xl/ctrlProps/ctrlProp7.xml><?xml version="1.0" encoding="utf-8"?>
<formControlPr xmlns="http://schemas.microsoft.com/office/spreadsheetml/2009/9/main" objectType="CheckBox" fmlaLink="$G$9" lockText="1"/>
</file>

<file path=xl/ctrlProps/ctrlProp8.xml><?xml version="1.0" encoding="utf-8"?>
<formControlPr xmlns="http://schemas.microsoft.com/office/spreadsheetml/2009/9/main" objectType="CheckBox" fmlaLink="$G$10" lockText="1"/>
</file>

<file path=xl/ctrlProps/ctrlProp9.xml><?xml version="1.0" encoding="utf-8"?>
<formControlPr xmlns="http://schemas.microsoft.com/office/spreadsheetml/2009/9/main" objectType="CheckBox" fmlaLink="$G$11" lockText="1"/>
</file>

<file path=xl/ctrlProps/ctrlProp10.xml><?xml version="1.0" encoding="utf-8"?>
<formControlPr xmlns="http://schemas.microsoft.com/office/spreadsheetml/2009/9/main" objectType="CheckBox" fmlaLink="$G$12" lockText="1"/>
</file>

<file path=xl/ctrlProps/ctrlProp11.xml><?xml version="1.0" encoding="utf-8"?>
<formControlPr xmlns="http://schemas.microsoft.com/office/spreadsheetml/2009/9/main" objectType="CheckBox" fmlaLink="$G$13" lockText="1"/>
</file>

<file path=xl/ctrlProps/ctrlProp12.xml><?xml version="1.0" encoding="utf-8"?>
<formControlPr xmlns="http://schemas.microsoft.com/office/spreadsheetml/2009/9/main" objectType="CheckBox" fmlaLink="$G$14" lockText="1"/>
</file>

<file path=xl/ctrlProps/ctrlProp13.xml><?xml version="1.0" encoding="utf-8"?>
<formControlPr xmlns="http://schemas.microsoft.com/office/spreadsheetml/2009/9/main" objectType="CheckBox" checked="Checked" fmlaLink="$G$15" lockText="1"/>
</file>

<file path=xl/ctrlProps/ctrlProp14.xml><?xml version="1.0" encoding="utf-8"?>
<formControlPr xmlns="http://schemas.microsoft.com/office/spreadsheetml/2009/9/main" objectType="CheckBox" fmlaLink="$G$16" lockText="1"/>
</file>

<file path=xl/ctrlProps/ctrlProp15.xml><?xml version="1.0" encoding="utf-8"?>
<formControlPr xmlns="http://schemas.microsoft.com/office/spreadsheetml/2009/9/main" objectType="CheckBox" fmlaLink="$G$17" lockText="1"/>
</file>

<file path=xl/ctrlProps/ctrlProp16.xml><?xml version="1.0" encoding="utf-8"?>
<formControlPr xmlns="http://schemas.microsoft.com/office/spreadsheetml/2009/9/main" objectType="CheckBox" fmlaLink="$G$18" lockText="1"/>
</file>

<file path=xl/ctrlProps/ctrlProp17.xml><?xml version="1.0" encoding="utf-8"?>
<formControlPr xmlns="http://schemas.microsoft.com/office/spreadsheetml/2009/9/main" objectType="CheckBox" fmlaLink="$G$19" lockText="1"/>
</file>

<file path=xl/ctrlProps/ctrlProp18.xml><?xml version="1.0" encoding="utf-8"?>
<formControlPr xmlns="http://schemas.microsoft.com/office/spreadsheetml/2009/9/main" objectType="CheckBox" fmlaLink="$G$20" lockText="1"/>
</file>

<file path=xl/ctrlProps/ctrlProp19.xml><?xml version="1.0" encoding="utf-8"?>
<formControlPr xmlns="http://schemas.microsoft.com/office/spreadsheetml/2009/9/main" objectType="CheckBox" fmlaLink="$G$21" lockText="1"/>
</file>

<file path=xl/ctrlProps/ctrlProp20.xml><?xml version="1.0" encoding="utf-8"?>
<formControlPr xmlns="http://schemas.microsoft.com/office/spreadsheetml/2009/9/main" objectType="CheckBox" fmlaLink="$G$22" lockText="1"/>
</file>

<file path=xl/ctrlProps/ctrlProp21.xml><?xml version="1.0" encoding="utf-8"?>
<formControlPr xmlns="http://schemas.microsoft.com/office/spreadsheetml/2009/9/main" objectType="CheckBox" fmlaLink="$G$23" lockText="1"/>
</file>

<file path=xl/ctrlProps/ctrlProp22.xml><?xml version="1.0" encoding="utf-8"?>
<formControlPr xmlns="http://schemas.microsoft.com/office/spreadsheetml/2009/9/main" objectType="CheckBox" fmlaLink="$K$3" lockText="1"/>
</file>

<file path=xl/ctrlProps/ctrlProp23.xml><?xml version="1.0" encoding="utf-8"?>
<formControlPr xmlns="http://schemas.microsoft.com/office/spreadsheetml/2009/9/main" objectType="CheckBox" fmlaLink="$K$4" lockText="1"/>
</file>

<file path=xl/ctrlProps/ctrlProp24.xml><?xml version="1.0" encoding="utf-8"?>
<formControlPr xmlns="http://schemas.microsoft.com/office/spreadsheetml/2009/9/main" objectType="CheckBox" checked="Checked" fmlaLink="$K$5" lockText="1"/>
</file>

<file path=xl/ctrlProps/ctrlProp25.xml><?xml version="1.0" encoding="utf-8"?>
<formControlPr xmlns="http://schemas.microsoft.com/office/spreadsheetml/2009/9/main" objectType="CheckBox" fmlaLink="$K$6" lockText="1"/>
</file>

<file path=xl/ctrlProps/ctrlProp26.xml><?xml version="1.0" encoding="utf-8"?>
<formControlPr xmlns="http://schemas.microsoft.com/office/spreadsheetml/2009/9/main" objectType="CheckBox" fmlaLink="$K$7" lockText="1"/>
</file>

<file path=xl/ctrlProps/ctrlProp27.xml><?xml version="1.0" encoding="utf-8"?>
<formControlPr xmlns="http://schemas.microsoft.com/office/spreadsheetml/2009/9/main" objectType="CheckBox" fmlaLink="$K$8" lockText="1"/>
</file>

<file path=xl/ctrlProps/ctrlProp28.xml><?xml version="1.0" encoding="utf-8"?>
<formControlPr xmlns="http://schemas.microsoft.com/office/spreadsheetml/2009/9/main" objectType="CheckBox" fmlaLink="$K$9" lockText="1"/>
</file>

<file path=xl/ctrlProps/ctrlProp29.xml><?xml version="1.0" encoding="utf-8"?>
<formControlPr xmlns="http://schemas.microsoft.com/office/spreadsheetml/2009/9/main" objectType="CheckBox" fmlaLink="$K$10" lockText="1"/>
</file>

<file path=xl/ctrlProps/ctrlProp30.xml><?xml version="1.0" encoding="utf-8"?>
<formControlPr xmlns="http://schemas.microsoft.com/office/spreadsheetml/2009/9/main" objectType="CheckBox" fmlaLink="$K$11" lockText="1"/>
</file>

<file path=xl/ctrlProps/ctrlProp31.xml><?xml version="1.0" encoding="utf-8"?>
<formControlPr xmlns="http://schemas.microsoft.com/office/spreadsheetml/2009/9/main" objectType="CheckBox" fmlaLink="$K$12" lockText="1"/>
</file>

<file path=xl/ctrlProps/ctrlProp32.xml><?xml version="1.0" encoding="utf-8"?>
<formControlPr xmlns="http://schemas.microsoft.com/office/spreadsheetml/2009/9/main" objectType="CheckBox" fmlaLink="$K$13" lockText="1"/>
</file>

<file path=xl/ctrlProps/ctrlProp33.xml><?xml version="1.0" encoding="utf-8"?>
<formControlPr xmlns="http://schemas.microsoft.com/office/spreadsheetml/2009/9/main" objectType="CheckBox" fmlaLink="$K$14" lockText="1"/>
</file>

<file path=xl/ctrlProps/ctrlProp34.xml><?xml version="1.0" encoding="utf-8"?>
<formControlPr xmlns="http://schemas.microsoft.com/office/spreadsheetml/2009/9/main" objectType="CheckBox" fmlaLink="$K$15" lockText="1"/>
</file>

<file path=xl/ctrlProps/ctrlProp35.xml><?xml version="1.0" encoding="utf-8"?>
<formControlPr xmlns="http://schemas.microsoft.com/office/spreadsheetml/2009/9/main" objectType="CheckBox" fmlaLink="$K$16" lockText="1"/>
</file>

<file path=xl/ctrlProps/ctrlProp36.xml><?xml version="1.0" encoding="utf-8"?>
<formControlPr xmlns="http://schemas.microsoft.com/office/spreadsheetml/2009/9/main" objectType="CheckBox" fmlaLink="$K$17" lockText="1"/>
</file>

<file path=xl/ctrlProps/ctrlProp37.xml><?xml version="1.0" encoding="utf-8"?>
<formControlPr xmlns="http://schemas.microsoft.com/office/spreadsheetml/2009/9/main" objectType="CheckBox" checked="Checked" fmlaLink="$K$18" lockText="1"/>
</file>

<file path=xl/ctrlProps/ctrlProp38.xml><?xml version="1.0" encoding="utf-8"?>
<formControlPr xmlns="http://schemas.microsoft.com/office/spreadsheetml/2009/9/main" objectType="CheckBox" fmlaLink="$K$19" lockText="1"/>
</file>

<file path=xl/ctrlProps/ctrlProp39.xml><?xml version="1.0" encoding="utf-8"?>
<formControlPr xmlns="http://schemas.microsoft.com/office/spreadsheetml/2009/9/main" objectType="CheckBox" fmlaLink="$K$20" lockText="1"/>
</file>

<file path=xl/ctrlProps/ctrlProp40.xml><?xml version="1.0" encoding="utf-8"?>
<formControlPr xmlns="http://schemas.microsoft.com/office/spreadsheetml/2009/9/main" objectType="CheckBox" fmlaLink="$K$21" lockText="1"/>
</file>

<file path=xl/ctrlProps/ctrlProp41.xml><?xml version="1.0" encoding="utf-8"?>
<formControlPr xmlns="http://schemas.microsoft.com/office/spreadsheetml/2009/9/main" objectType="CheckBox" fmlaLink="$K$22" lockText="1"/>
</file>

<file path=xl/ctrlProps/ctrlProp42.xml><?xml version="1.0" encoding="utf-8"?>
<formControlPr xmlns="http://schemas.microsoft.com/office/spreadsheetml/2009/9/main" objectType="CheckBox" fmlaLink="$K$23" lockText="1"/>
</file>

<file path=xl/ctrlProps/ctrlProp43.xml><?xml version="1.0" encoding="utf-8"?>
<formControlPr xmlns="http://schemas.microsoft.com/office/spreadsheetml/2009/9/main" objectType="CheckBox" fmlaLink="$O$19" lockText="1"/>
</file>

<file path=xl/ctrlProps/ctrlProp44.xml><?xml version="1.0" encoding="utf-8"?>
<formControlPr xmlns="http://schemas.microsoft.com/office/spreadsheetml/2009/9/main" objectType="CheckBox" fmlaLink="$O$20" lockText="1"/>
</file>

<file path=xl/ctrlProps/ctrlProp45.xml><?xml version="1.0" encoding="utf-8"?>
<formControlPr xmlns="http://schemas.microsoft.com/office/spreadsheetml/2009/9/main" objectType="CheckBox" fmlaLink="$O$21" lockText="1"/>
</file>

<file path=xl/ctrlProps/ctrlProp46.xml><?xml version="1.0" encoding="utf-8"?>
<formControlPr xmlns="http://schemas.microsoft.com/office/spreadsheetml/2009/9/main" objectType="CheckBox" fmlaLink="$O$22" lockText="1"/>
</file>

<file path=xl/ctrlProps/ctrlProp47.xml><?xml version="1.0" encoding="utf-8"?>
<formControlPr xmlns="http://schemas.microsoft.com/office/spreadsheetml/2009/9/main" objectType="CheckBox" fmlaLink="$O$23" lockText="1"/>
</file>

<file path=xl/ctrlProps/ctrlProp48.xml><?xml version="1.0" encoding="utf-8"?>
<formControlPr xmlns="http://schemas.microsoft.com/office/spreadsheetml/2009/9/main" objectType="CheckBox" checked="Checked" fmlaLink="$O$3" lockText="1"/>
</file>

<file path=xl/ctrlProps/ctrlProp49.xml><?xml version="1.0" encoding="utf-8"?>
<formControlPr xmlns="http://schemas.microsoft.com/office/spreadsheetml/2009/9/main" objectType="CheckBox" checked="Checked" fmlaLink="$O$4" lockText="1"/>
</file>

<file path=xl/ctrlProps/ctrlProp50.xml><?xml version="1.0" encoding="utf-8"?>
<formControlPr xmlns="http://schemas.microsoft.com/office/spreadsheetml/2009/9/main" objectType="CheckBox" checked="Checked" fmlaLink="$O$5" lockText="1"/>
</file>

<file path=xl/ctrlProps/ctrlProp51.xml><?xml version="1.0" encoding="utf-8"?>
<formControlPr xmlns="http://schemas.microsoft.com/office/spreadsheetml/2009/9/main" objectType="CheckBox" checked="Checked" fmlaLink="$O$6" lockText="1"/>
</file>

<file path=xl/ctrlProps/ctrlProp52.xml><?xml version="1.0" encoding="utf-8"?>
<formControlPr xmlns="http://schemas.microsoft.com/office/spreadsheetml/2009/9/main" objectType="CheckBox" checked="Checked" fmlaLink="$O$7" lockText="1"/>
</file>

<file path=xl/ctrlProps/ctrlProp53.xml><?xml version="1.0" encoding="utf-8"?>
<formControlPr xmlns="http://schemas.microsoft.com/office/spreadsheetml/2009/9/main" objectType="CheckBox" checked="Checked" fmlaLink="$O$8" lockText="1"/>
</file>

<file path=xl/ctrlProps/ctrlProp54.xml><?xml version="1.0" encoding="utf-8"?>
<formControlPr xmlns="http://schemas.microsoft.com/office/spreadsheetml/2009/9/main" objectType="CheckBox" checked="Checked" fmlaLink="$O$9" lockText="1"/>
</file>

<file path=xl/ctrlProps/ctrlProp55.xml><?xml version="1.0" encoding="utf-8"?>
<formControlPr xmlns="http://schemas.microsoft.com/office/spreadsheetml/2009/9/main" objectType="CheckBox" fmlaLink="$O$10" lockText="1"/>
</file>

<file path=xl/ctrlProps/ctrlProp56.xml><?xml version="1.0" encoding="utf-8"?>
<formControlPr xmlns="http://schemas.microsoft.com/office/spreadsheetml/2009/9/main" objectType="CheckBox" fmlaLink="$O$11" lockText="1"/>
</file>

<file path=xl/ctrlProps/ctrlProp57.xml><?xml version="1.0" encoding="utf-8"?>
<formControlPr xmlns="http://schemas.microsoft.com/office/spreadsheetml/2009/9/main" objectType="CheckBox" fmlaLink="$O$12" lockText="1"/>
</file>

<file path=xl/ctrlProps/ctrlProp58.xml><?xml version="1.0" encoding="utf-8"?>
<formControlPr xmlns="http://schemas.microsoft.com/office/spreadsheetml/2009/9/main" objectType="CheckBox" fmlaLink="$O$13" lockText="1"/>
</file>

<file path=xl/ctrlProps/ctrlProp59.xml><?xml version="1.0" encoding="utf-8"?>
<formControlPr xmlns="http://schemas.microsoft.com/office/spreadsheetml/2009/9/main" objectType="CheckBox" fmlaLink="$O$14" lockText="1"/>
</file>

<file path=xl/ctrlProps/ctrlProp60.xml><?xml version="1.0" encoding="utf-8"?>
<formControlPr xmlns="http://schemas.microsoft.com/office/spreadsheetml/2009/9/main" objectType="CheckBox" fmlaLink="$O$15" lockText="1"/>
</file>

<file path=xl/ctrlProps/ctrlProp61.xml><?xml version="1.0" encoding="utf-8"?>
<formControlPr xmlns="http://schemas.microsoft.com/office/spreadsheetml/2009/9/main" objectType="CheckBox" fmlaLink="$O$16" lockText="1"/>
</file>

<file path=xl/ctrlProps/ctrlProp62.xml><?xml version="1.0" encoding="utf-8"?>
<formControlPr xmlns="http://schemas.microsoft.com/office/spreadsheetml/2009/9/main" objectType="CheckBox" fmlaLink="$O$17" lockText="1"/>
</file>

<file path=xl/ctrlProps/ctrlProp63.xml><?xml version="1.0" encoding="utf-8"?>
<formControlPr xmlns="http://schemas.microsoft.com/office/spreadsheetml/2009/9/main" objectType="CheckBox" fmlaLink="$O$18" lockText="1"/>
</file>

<file path=xl/ctrlProps/ctrlProp64.xml><?xml version="1.0" encoding="utf-8"?>
<formControlPr xmlns="http://schemas.microsoft.com/office/spreadsheetml/2009/9/main" objectType="CheckBox" fmlaLink="$S$3" lockText="1"/>
</file>

<file path=xl/ctrlProps/ctrlProp65.xml><?xml version="1.0" encoding="utf-8"?>
<formControlPr xmlns="http://schemas.microsoft.com/office/spreadsheetml/2009/9/main" objectType="CheckBox" fmlaLink="$S$4" lockText="1"/>
</file>

<file path=xl/ctrlProps/ctrlProp66.xml><?xml version="1.0" encoding="utf-8"?>
<formControlPr xmlns="http://schemas.microsoft.com/office/spreadsheetml/2009/9/main" objectType="CheckBox" fmlaLink="$S$5" lockText="1"/>
</file>

<file path=xl/ctrlProps/ctrlProp67.xml><?xml version="1.0" encoding="utf-8"?>
<formControlPr xmlns="http://schemas.microsoft.com/office/spreadsheetml/2009/9/main" objectType="CheckBox" fmlaLink="$S$6" lockText="1"/>
</file>

<file path=xl/ctrlProps/ctrlProp68.xml><?xml version="1.0" encoding="utf-8"?>
<formControlPr xmlns="http://schemas.microsoft.com/office/spreadsheetml/2009/9/main" objectType="CheckBox" fmlaLink="$S$7" lockText="1"/>
</file>

<file path=xl/ctrlProps/ctrlProp69.xml><?xml version="1.0" encoding="utf-8"?>
<formControlPr xmlns="http://schemas.microsoft.com/office/spreadsheetml/2009/9/main" objectType="CheckBox" fmlaLink="$S$8" lockText="1"/>
</file>

<file path=xl/ctrlProps/ctrlProp70.xml><?xml version="1.0" encoding="utf-8"?>
<formControlPr xmlns="http://schemas.microsoft.com/office/spreadsheetml/2009/9/main" objectType="CheckBox" fmlaLink="$S$9" lockText="1"/>
</file>

<file path=xl/ctrlProps/ctrlProp71.xml><?xml version="1.0" encoding="utf-8"?>
<formControlPr xmlns="http://schemas.microsoft.com/office/spreadsheetml/2009/9/main" objectType="CheckBox" fmlaLink="$S$10" lockText="1"/>
</file>

<file path=xl/ctrlProps/ctrlProp72.xml><?xml version="1.0" encoding="utf-8"?>
<formControlPr xmlns="http://schemas.microsoft.com/office/spreadsheetml/2009/9/main" objectType="CheckBox" fmlaLink="$S$11" lockText="1"/>
</file>

<file path=xl/ctrlProps/ctrlProp73.xml><?xml version="1.0" encoding="utf-8"?>
<formControlPr xmlns="http://schemas.microsoft.com/office/spreadsheetml/2009/9/main" objectType="CheckBox" fmlaLink="$S$12" lockText="1"/>
</file>

<file path=xl/ctrlProps/ctrlProp74.xml><?xml version="1.0" encoding="utf-8"?>
<formControlPr xmlns="http://schemas.microsoft.com/office/spreadsheetml/2009/9/main" objectType="CheckBox" fmlaLink="$S$13" lockText="1"/>
</file>

<file path=xl/ctrlProps/ctrlProp75.xml><?xml version="1.0" encoding="utf-8"?>
<formControlPr xmlns="http://schemas.microsoft.com/office/spreadsheetml/2009/9/main" objectType="CheckBox" fmlaLink="$S$14" lockText="1"/>
</file>

<file path=xl/ctrlProps/ctrlProp76.xml><?xml version="1.0" encoding="utf-8"?>
<formControlPr xmlns="http://schemas.microsoft.com/office/spreadsheetml/2009/9/main" objectType="CheckBox" fmlaLink="$S$15" lockText="1"/>
</file>

<file path=xl/ctrlProps/ctrlProp77.xml><?xml version="1.0" encoding="utf-8"?>
<formControlPr xmlns="http://schemas.microsoft.com/office/spreadsheetml/2009/9/main" objectType="CheckBox" fmlaLink="$S$16" lockText="1"/>
</file>

<file path=xl/ctrlProps/ctrlProp78.xml><?xml version="1.0" encoding="utf-8"?>
<formControlPr xmlns="http://schemas.microsoft.com/office/spreadsheetml/2009/9/main" objectType="CheckBox" fmlaLink="$S$17" lockText="1"/>
</file>

<file path=xl/ctrlProps/ctrlProp79.xml><?xml version="1.0" encoding="utf-8"?>
<formControlPr xmlns="http://schemas.microsoft.com/office/spreadsheetml/2009/9/main" objectType="CheckBox" fmlaLink="$S$18" lockText="1"/>
</file>

<file path=xl/ctrlProps/ctrlProp80.xml><?xml version="1.0" encoding="utf-8"?>
<formControlPr xmlns="http://schemas.microsoft.com/office/spreadsheetml/2009/9/main" objectType="CheckBox" fmlaLink="$S$18" lockText="1"/>
</file>

<file path=xl/ctrlProps/ctrlProp81.xml><?xml version="1.0" encoding="utf-8"?>
<formControlPr xmlns="http://schemas.microsoft.com/office/spreadsheetml/2009/9/main" objectType="CheckBox" fmlaLink="$S$19" lockText="1"/>
</file>

<file path=xl/ctrlProps/ctrlProp82.xml><?xml version="1.0" encoding="utf-8"?>
<formControlPr xmlns="http://schemas.microsoft.com/office/spreadsheetml/2009/9/main" objectType="CheckBox" fmlaLink="$S$19" lockText="1"/>
</file>

<file path=xl/ctrlProps/ctrlProp83.xml><?xml version="1.0" encoding="utf-8"?>
<formControlPr xmlns="http://schemas.microsoft.com/office/spreadsheetml/2009/9/main" objectType="CheckBox" fmlaLink="$S$20" lockText="1"/>
</file>

<file path=xl/ctrlProps/ctrlProp84.xml><?xml version="1.0" encoding="utf-8"?>
<formControlPr xmlns="http://schemas.microsoft.com/office/spreadsheetml/2009/9/main" objectType="CheckBox" fmlaLink="$S$20" lockText="1"/>
</file>

<file path=xl/ctrlProps/ctrlProp85.xml><?xml version="1.0" encoding="utf-8"?>
<formControlPr xmlns="http://schemas.microsoft.com/office/spreadsheetml/2009/9/main" objectType="CheckBox" fmlaLink="$S$20" lockText="1"/>
</file>

<file path=xl/ctrlProps/ctrlProp86.xml><?xml version="1.0" encoding="utf-8"?>
<formControlPr xmlns="http://schemas.microsoft.com/office/spreadsheetml/2009/9/main" objectType="CheckBox" fmlaLink="$S$21" lockText="1"/>
</file>

<file path=xl/ctrlProps/ctrlProp87.xml><?xml version="1.0" encoding="utf-8"?>
<formControlPr xmlns="http://schemas.microsoft.com/office/spreadsheetml/2009/9/main" objectType="CheckBox" fmlaLink="$S$21" lockText="1"/>
</file>

<file path=xl/ctrlProps/ctrlProp88.xml><?xml version="1.0" encoding="utf-8"?>
<formControlPr xmlns="http://schemas.microsoft.com/office/spreadsheetml/2009/9/main" objectType="CheckBox" fmlaLink="$S$21" lockText="1"/>
</file>

<file path=xl/ctrlProps/ctrlProp89.xml><?xml version="1.0" encoding="utf-8"?>
<formControlPr xmlns="http://schemas.microsoft.com/office/spreadsheetml/2009/9/main" objectType="CheckBox" fmlaLink="$S$22" lockText="1"/>
</file>

<file path=xl/ctrlProps/ctrlProp90.xml><?xml version="1.0" encoding="utf-8"?>
<formControlPr xmlns="http://schemas.microsoft.com/office/spreadsheetml/2009/9/main" objectType="CheckBox" fmlaLink="$S$22" lockText="1"/>
</file>

<file path=xl/ctrlProps/ctrlProp91.xml><?xml version="1.0" encoding="utf-8"?>
<formControlPr xmlns="http://schemas.microsoft.com/office/spreadsheetml/2009/9/main" objectType="CheckBox" fmlaLink="$S$22" lockText="1"/>
</file>

<file path=xl/ctrlProps/ctrlProp92.xml><?xml version="1.0" encoding="utf-8"?>
<formControlPr xmlns="http://schemas.microsoft.com/office/spreadsheetml/2009/9/main" objectType="CheckBox" fmlaLink="$S$23" lockText="1"/>
</file>

<file path=xl/ctrlProps/ctrlProp93.xml><?xml version="1.0" encoding="utf-8"?>
<formControlPr xmlns="http://schemas.microsoft.com/office/spreadsheetml/2009/9/main" objectType="CheckBox" fmlaLink="$S$23" lockText="1"/>
</file>

<file path=xl/ctrlProps/ctrlProp94.xml><?xml version="1.0" encoding="utf-8"?>
<formControlPr xmlns="http://schemas.microsoft.com/office/spreadsheetml/2009/9/main" objectType="CheckBox" fmlaLink="$G$2" lockText="1"/>
</file>

<file path=xl/ctrlProps/ctrlProp95.xml><?xml version="1.0" encoding="utf-8"?>
<formControlPr xmlns="http://schemas.microsoft.com/office/spreadsheetml/2009/9/main" objectType="CheckBox" fmlaLink="$K$2" lockText="1"/>
</file>

<file path=xl/ctrlProps/ctrlProp96.xml><?xml version="1.0" encoding="utf-8"?>
<formControlPr xmlns="http://schemas.microsoft.com/office/spreadsheetml/2009/9/main" objectType="CheckBox" fmlaLink="$O$2" lockText="1"/>
</file>

<file path=xl/ctrlProps/ctrlProp97.xml><?xml version="1.0" encoding="utf-8"?>
<formControlPr xmlns="http://schemas.microsoft.com/office/spreadsheetml/2009/9/main" objectType="CheckBox" fmlaLink="$S$2" lockText="1"/>
</file>

<file path=xl/ctrlProps/ctrlProp98.xml><?xml version="1.0" encoding="utf-8"?>
<formControlPr xmlns="http://schemas.microsoft.com/office/spreadsheetml/2009/9/main" objectType="CheckBox" fmlaLink="$C$2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Drop" dropStyle="combo" dx="22" noThreeD="1" sel="1" val="0">
  <itemLst>
    <item val="Summary statistics"/>
    <item val="Correlation matrix (Pearson (n))"/>
    <item val="Principal Component Analysis"/>
    <item val="Eigenvalues"/>
    <item val="Eigenvectors"/>
    <item val="Factor loadings"/>
    <item val="Correlations between variables and factors"/>
    <item val="Contribution of the variables (%)"/>
    <item val="Squared cosines of the variables"/>
    <item val="Factor scores"/>
    <item val="Contribution of the observations (%)"/>
    <item val="Axes homogeneity index"/>
    <item val="Squared cosines of the observations"/>
  </itemLst>
</formControlPr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0" Type="http://schemas.openxmlformats.org/officeDocument/2006/relationships/chart" Target="../charts/chart4.xml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2</xdr:row>
          <xdr:rowOff>30480</xdr:rowOff>
        </xdr:from>
        <xdr:to>
          <xdr:col>5</xdr:col>
          <xdr:colOff>533400</xdr:colOff>
          <xdr:row>3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3</xdr:row>
          <xdr:rowOff>30480</xdr:rowOff>
        </xdr:from>
        <xdr:to>
          <xdr:col>5</xdr:col>
          <xdr:colOff>533400</xdr:colOff>
          <xdr:row>4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4</xdr:row>
          <xdr:rowOff>30480</xdr:rowOff>
        </xdr:from>
        <xdr:to>
          <xdr:col>5</xdr:col>
          <xdr:colOff>533400</xdr:colOff>
          <xdr:row>5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5</xdr:row>
          <xdr:rowOff>30480</xdr:rowOff>
        </xdr:from>
        <xdr:to>
          <xdr:col>5</xdr:col>
          <xdr:colOff>533400</xdr:colOff>
          <xdr:row>6</xdr:row>
          <xdr:rowOff>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6</xdr:row>
          <xdr:rowOff>30480</xdr:rowOff>
        </xdr:from>
        <xdr:to>
          <xdr:col>5</xdr:col>
          <xdr:colOff>533400</xdr:colOff>
          <xdr:row>7</xdr:row>
          <xdr:rowOff>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7</xdr:row>
          <xdr:rowOff>30480</xdr:rowOff>
        </xdr:from>
        <xdr:to>
          <xdr:col>5</xdr:col>
          <xdr:colOff>533400</xdr:colOff>
          <xdr:row>8</xdr:row>
          <xdr:rowOff>0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8</xdr:row>
          <xdr:rowOff>30480</xdr:rowOff>
        </xdr:from>
        <xdr:to>
          <xdr:col>5</xdr:col>
          <xdr:colOff>533400</xdr:colOff>
          <xdr:row>9</xdr:row>
          <xdr:rowOff>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9</xdr:row>
          <xdr:rowOff>30480</xdr:rowOff>
        </xdr:from>
        <xdr:to>
          <xdr:col>5</xdr:col>
          <xdr:colOff>533400</xdr:colOff>
          <xdr:row>10</xdr:row>
          <xdr:rowOff>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10</xdr:row>
          <xdr:rowOff>30480</xdr:rowOff>
        </xdr:from>
        <xdr:to>
          <xdr:col>5</xdr:col>
          <xdr:colOff>533400</xdr:colOff>
          <xdr:row>11</xdr:row>
          <xdr:rowOff>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11</xdr:row>
          <xdr:rowOff>30480</xdr:rowOff>
        </xdr:from>
        <xdr:to>
          <xdr:col>5</xdr:col>
          <xdr:colOff>533400</xdr:colOff>
          <xdr:row>12</xdr:row>
          <xdr:rowOff>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12</xdr:row>
          <xdr:rowOff>30480</xdr:rowOff>
        </xdr:from>
        <xdr:to>
          <xdr:col>5</xdr:col>
          <xdr:colOff>533400</xdr:colOff>
          <xdr:row>13</xdr:row>
          <xdr:rowOff>0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13</xdr:row>
          <xdr:rowOff>30480</xdr:rowOff>
        </xdr:from>
        <xdr:to>
          <xdr:col>5</xdr:col>
          <xdr:colOff>533400</xdr:colOff>
          <xdr:row>14</xdr:row>
          <xdr:rowOff>0</xdr:rowOff>
        </xdr:to>
        <xdr:sp macro="" textlink="">
          <xdr:nvSpPr>
            <xdr:cNvPr id="7180" name="Check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14</xdr:row>
          <xdr:rowOff>30480</xdr:rowOff>
        </xdr:from>
        <xdr:to>
          <xdr:col>5</xdr:col>
          <xdr:colOff>533400</xdr:colOff>
          <xdr:row>15</xdr:row>
          <xdr:rowOff>0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15</xdr:row>
          <xdr:rowOff>30480</xdr:rowOff>
        </xdr:from>
        <xdr:to>
          <xdr:col>5</xdr:col>
          <xdr:colOff>533400</xdr:colOff>
          <xdr:row>16</xdr:row>
          <xdr:rowOff>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16</xdr:row>
          <xdr:rowOff>30480</xdr:rowOff>
        </xdr:from>
        <xdr:to>
          <xdr:col>5</xdr:col>
          <xdr:colOff>533400</xdr:colOff>
          <xdr:row>17</xdr:row>
          <xdr:rowOff>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17</xdr:row>
          <xdr:rowOff>30480</xdr:rowOff>
        </xdr:from>
        <xdr:to>
          <xdr:col>5</xdr:col>
          <xdr:colOff>533400</xdr:colOff>
          <xdr:row>18</xdr:row>
          <xdr:rowOff>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18</xdr:row>
          <xdr:rowOff>30480</xdr:rowOff>
        </xdr:from>
        <xdr:to>
          <xdr:col>5</xdr:col>
          <xdr:colOff>533400</xdr:colOff>
          <xdr:row>19</xdr:row>
          <xdr:rowOff>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19</xdr:row>
          <xdr:rowOff>30480</xdr:rowOff>
        </xdr:from>
        <xdr:to>
          <xdr:col>5</xdr:col>
          <xdr:colOff>533400</xdr:colOff>
          <xdr:row>20</xdr:row>
          <xdr:rowOff>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0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20</xdr:row>
          <xdr:rowOff>30480</xdr:rowOff>
        </xdr:from>
        <xdr:to>
          <xdr:col>5</xdr:col>
          <xdr:colOff>533400</xdr:colOff>
          <xdr:row>21</xdr:row>
          <xdr:rowOff>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21</xdr:row>
          <xdr:rowOff>30480</xdr:rowOff>
        </xdr:from>
        <xdr:to>
          <xdr:col>5</xdr:col>
          <xdr:colOff>533400</xdr:colOff>
          <xdr:row>22</xdr:row>
          <xdr:rowOff>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22</xdr:row>
          <xdr:rowOff>30480</xdr:rowOff>
        </xdr:from>
        <xdr:to>
          <xdr:col>5</xdr:col>
          <xdr:colOff>533400</xdr:colOff>
          <xdr:row>23</xdr:row>
          <xdr:rowOff>0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0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2</xdr:row>
          <xdr:rowOff>30480</xdr:rowOff>
        </xdr:from>
        <xdr:to>
          <xdr:col>9</xdr:col>
          <xdr:colOff>533400</xdr:colOff>
          <xdr:row>3</xdr:row>
          <xdr:rowOff>0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0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3</xdr:row>
          <xdr:rowOff>30480</xdr:rowOff>
        </xdr:from>
        <xdr:to>
          <xdr:col>9</xdr:col>
          <xdr:colOff>533400</xdr:colOff>
          <xdr:row>4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0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4</xdr:row>
          <xdr:rowOff>30480</xdr:rowOff>
        </xdr:from>
        <xdr:to>
          <xdr:col>9</xdr:col>
          <xdr:colOff>533400</xdr:colOff>
          <xdr:row>5</xdr:row>
          <xdr:rowOff>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0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5</xdr:row>
          <xdr:rowOff>30480</xdr:rowOff>
        </xdr:from>
        <xdr:to>
          <xdr:col>9</xdr:col>
          <xdr:colOff>533400</xdr:colOff>
          <xdr:row>6</xdr:row>
          <xdr:rowOff>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0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6</xdr:row>
          <xdr:rowOff>30480</xdr:rowOff>
        </xdr:from>
        <xdr:to>
          <xdr:col>9</xdr:col>
          <xdr:colOff>533400</xdr:colOff>
          <xdr:row>7</xdr:row>
          <xdr:rowOff>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0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7</xdr:row>
          <xdr:rowOff>30480</xdr:rowOff>
        </xdr:from>
        <xdr:to>
          <xdr:col>9</xdr:col>
          <xdr:colOff>533400</xdr:colOff>
          <xdr:row>8</xdr:row>
          <xdr:rowOff>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8</xdr:row>
          <xdr:rowOff>30480</xdr:rowOff>
        </xdr:from>
        <xdr:to>
          <xdr:col>9</xdr:col>
          <xdr:colOff>533400</xdr:colOff>
          <xdr:row>9</xdr:row>
          <xdr:rowOff>0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9</xdr:row>
          <xdr:rowOff>30480</xdr:rowOff>
        </xdr:from>
        <xdr:to>
          <xdr:col>9</xdr:col>
          <xdr:colOff>533400</xdr:colOff>
          <xdr:row>10</xdr:row>
          <xdr:rowOff>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10</xdr:row>
          <xdr:rowOff>30480</xdr:rowOff>
        </xdr:from>
        <xdr:to>
          <xdr:col>9</xdr:col>
          <xdr:colOff>533400</xdr:colOff>
          <xdr:row>11</xdr:row>
          <xdr:rowOff>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11</xdr:row>
          <xdr:rowOff>30480</xdr:rowOff>
        </xdr:from>
        <xdr:to>
          <xdr:col>9</xdr:col>
          <xdr:colOff>533400</xdr:colOff>
          <xdr:row>12</xdr:row>
          <xdr:rowOff>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12</xdr:row>
          <xdr:rowOff>30480</xdr:rowOff>
        </xdr:from>
        <xdr:to>
          <xdr:col>9</xdr:col>
          <xdr:colOff>533400</xdr:colOff>
          <xdr:row>13</xdr:row>
          <xdr:rowOff>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13</xdr:row>
          <xdr:rowOff>30480</xdr:rowOff>
        </xdr:from>
        <xdr:to>
          <xdr:col>9</xdr:col>
          <xdr:colOff>533400</xdr:colOff>
          <xdr:row>14</xdr:row>
          <xdr:rowOff>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14</xdr:row>
          <xdr:rowOff>30480</xdr:rowOff>
        </xdr:from>
        <xdr:to>
          <xdr:col>9</xdr:col>
          <xdr:colOff>533400</xdr:colOff>
          <xdr:row>15</xdr:row>
          <xdr:rowOff>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15</xdr:row>
          <xdr:rowOff>30480</xdr:rowOff>
        </xdr:from>
        <xdr:to>
          <xdr:col>9</xdr:col>
          <xdr:colOff>533400</xdr:colOff>
          <xdr:row>16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16</xdr:row>
          <xdr:rowOff>30480</xdr:rowOff>
        </xdr:from>
        <xdr:to>
          <xdr:col>9</xdr:col>
          <xdr:colOff>533400</xdr:colOff>
          <xdr:row>17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17</xdr:row>
          <xdr:rowOff>30480</xdr:rowOff>
        </xdr:from>
        <xdr:to>
          <xdr:col>9</xdr:col>
          <xdr:colOff>533400</xdr:colOff>
          <xdr:row>18</xdr:row>
          <xdr:rowOff>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18</xdr:row>
          <xdr:rowOff>30480</xdr:rowOff>
        </xdr:from>
        <xdr:to>
          <xdr:col>9</xdr:col>
          <xdr:colOff>533400</xdr:colOff>
          <xdr:row>19</xdr:row>
          <xdr:rowOff>0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19</xdr:row>
          <xdr:rowOff>30480</xdr:rowOff>
        </xdr:from>
        <xdr:to>
          <xdr:col>9</xdr:col>
          <xdr:colOff>533400</xdr:colOff>
          <xdr:row>20</xdr:row>
          <xdr:rowOff>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20</xdr:row>
          <xdr:rowOff>30480</xdr:rowOff>
        </xdr:from>
        <xdr:to>
          <xdr:col>9</xdr:col>
          <xdr:colOff>533400</xdr:colOff>
          <xdr:row>21</xdr:row>
          <xdr:rowOff>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21</xdr:row>
          <xdr:rowOff>30480</xdr:rowOff>
        </xdr:from>
        <xdr:to>
          <xdr:col>9</xdr:col>
          <xdr:colOff>533400</xdr:colOff>
          <xdr:row>22</xdr:row>
          <xdr:rowOff>0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22</xdr:row>
          <xdr:rowOff>30480</xdr:rowOff>
        </xdr:from>
        <xdr:to>
          <xdr:col>9</xdr:col>
          <xdr:colOff>533400</xdr:colOff>
          <xdr:row>23</xdr:row>
          <xdr:rowOff>0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2</xdr:row>
          <xdr:rowOff>30480</xdr:rowOff>
        </xdr:from>
        <xdr:to>
          <xdr:col>13</xdr:col>
          <xdr:colOff>525780</xdr:colOff>
          <xdr:row>3</xdr:row>
          <xdr:rowOff>30480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3</xdr:row>
          <xdr:rowOff>30480</xdr:rowOff>
        </xdr:from>
        <xdr:to>
          <xdr:col>13</xdr:col>
          <xdr:colOff>525780</xdr:colOff>
          <xdr:row>4</xdr:row>
          <xdr:rowOff>30480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4</xdr:row>
          <xdr:rowOff>30480</xdr:rowOff>
        </xdr:from>
        <xdr:to>
          <xdr:col>13</xdr:col>
          <xdr:colOff>525780</xdr:colOff>
          <xdr:row>5</xdr:row>
          <xdr:rowOff>30480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5</xdr:row>
          <xdr:rowOff>30480</xdr:rowOff>
        </xdr:from>
        <xdr:to>
          <xdr:col>13</xdr:col>
          <xdr:colOff>525780</xdr:colOff>
          <xdr:row>6</xdr:row>
          <xdr:rowOff>30480</xdr:rowOff>
        </xdr:to>
        <xdr:sp macro="" textlink="">
          <xdr:nvSpPr>
            <xdr:cNvPr id="7237" name="Check Box 6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0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6</xdr:row>
          <xdr:rowOff>30480</xdr:rowOff>
        </xdr:from>
        <xdr:to>
          <xdr:col>13</xdr:col>
          <xdr:colOff>525780</xdr:colOff>
          <xdr:row>7</xdr:row>
          <xdr:rowOff>30480</xdr:rowOff>
        </xdr:to>
        <xdr:sp macro="" textlink="">
          <xdr:nvSpPr>
            <xdr:cNvPr id="7238" name="Check Box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0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7</xdr:row>
          <xdr:rowOff>30480</xdr:rowOff>
        </xdr:from>
        <xdr:to>
          <xdr:col>13</xdr:col>
          <xdr:colOff>525780</xdr:colOff>
          <xdr:row>8</xdr:row>
          <xdr:rowOff>30480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8</xdr:row>
          <xdr:rowOff>30480</xdr:rowOff>
        </xdr:from>
        <xdr:to>
          <xdr:col>13</xdr:col>
          <xdr:colOff>525780</xdr:colOff>
          <xdr:row>9</xdr:row>
          <xdr:rowOff>30480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9</xdr:row>
          <xdr:rowOff>30480</xdr:rowOff>
        </xdr:from>
        <xdr:to>
          <xdr:col>13</xdr:col>
          <xdr:colOff>525780</xdr:colOff>
          <xdr:row>10</xdr:row>
          <xdr:rowOff>30480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10</xdr:row>
          <xdr:rowOff>30480</xdr:rowOff>
        </xdr:from>
        <xdr:to>
          <xdr:col>13</xdr:col>
          <xdr:colOff>525780</xdr:colOff>
          <xdr:row>11</xdr:row>
          <xdr:rowOff>30480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11</xdr:row>
          <xdr:rowOff>30480</xdr:rowOff>
        </xdr:from>
        <xdr:to>
          <xdr:col>13</xdr:col>
          <xdr:colOff>525780</xdr:colOff>
          <xdr:row>12</xdr:row>
          <xdr:rowOff>30480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12</xdr:row>
          <xdr:rowOff>30480</xdr:rowOff>
        </xdr:from>
        <xdr:to>
          <xdr:col>13</xdr:col>
          <xdr:colOff>525780</xdr:colOff>
          <xdr:row>13</xdr:row>
          <xdr:rowOff>30480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13</xdr:row>
          <xdr:rowOff>30480</xdr:rowOff>
        </xdr:from>
        <xdr:to>
          <xdr:col>13</xdr:col>
          <xdr:colOff>525780</xdr:colOff>
          <xdr:row>14</xdr:row>
          <xdr:rowOff>30480</xdr:rowOff>
        </xdr:to>
        <xdr:sp macro="" textlink="">
          <xdr:nvSpPr>
            <xdr:cNvPr id="7245" name="Check Box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0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14</xdr:row>
          <xdr:rowOff>30480</xdr:rowOff>
        </xdr:from>
        <xdr:to>
          <xdr:col>13</xdr:col>
          <xdr:colOff>525780</xdr:colOff>
          <xdr:row>15</xdr:row>
          <xdr:rowOff>30480</xdr:rowOff>
        </xdr:to>
        <xdr:sp macro="" textlink="">
          <xdr:nvSpPr>
            <xdr:cNvPr id="7246" name="Check Box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0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15</xdr:row>
          <xdr:rowOff>30480</xdr:rowOff>
        </xdr:from>
        <xdr:to>
          <xdr:col>13</xdr:col>
          <xdr:colOff>525780</xdr:colOff>
          <xdr:row>16</xdr:row>
          <xdr:rowOff>30480</xdr:rowOff>
        </xdr:to>
        <xdr:sp macro="" textlink="">
          <xdr:nvSpPr>
            <xdr:cNvPr id="7247" name="Check Box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0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16</xdr:row>
          <xdr:rowOff>30480</xdr:rowOff>
        </xdr:from>
        <xdr:to>
          <xdr:col>13</xdr:col>
          <xdr:colOff>525780</xdr:colOff>
          <xdr:row>17</xdr:row>
          <xdr:rowOff>30480</xdr:rowOff>
        </xdr:to>
        <xdr:sp macro="" textlink="">
          <xdr:nvSpPr>
            <xdr:cNvPr id="7248" name="Check Box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0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17</xdr:row>
          <xdr:rowOff>30480</xdr:rowOff>
        </xdr:from>
        <xdr:to>
          <xdr:col>13</xdr:col>
          <xdr:colOff>525780</xdr:colOff>
          <xdr:row>18</xdr:row>
          <xdr:rowOff>30480</xdr:rowOff>
        </xdr:to>
        <xdr:sp macro="" textlink="">
          <xdr:nvSpPr>
            <xdr:cNvPr id="7249" name="Check Box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0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18</xdr:row>
          <xdr:rowOff>30480</xdr:rowOff>
        </xdr:from>
        <xdr:to>
          <xdr:col>13</xdr:col>
          <xdr:colOff>525780</xdr:colOff>
          <xdr:row>19</xdr:row>
          <xdr:rowOff>30480</xdr:rowOff>
        </xdr:to>
        <xdr:sp macro="" textlink="">
          <xdr:nvSpPr>
            <xdr:cNvPr id="7250" name="Check Box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0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19</xdr:row>
          <xdr:rowOff>30480</xdr:rowOff>
        </xdr:from>
        <xdr:to>
          <xdr:col>13</xdr:col>
          <xdr:colOff>525780</xdr:colOff>
          <xdr:row>20</xdr:row>
          <xdr:rowOff>30480</xdr:rowOff>
        </xdr:to>
        <xdr:sp macro="" textlink="">
          <xdr:nvSpPr>
            <xdr:cNvPr id="7251" name="Check Box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0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20</xdr:row>
          <xdr:rowOff>30480</xdr:rowOff>
        </xdr:from>
        <xdr:to>
          <xdr:col>13</xdr:col>
          <xdr:colOff>525780</xdr:colOff>
          <xdr:row>21</xdr:row>
          <xdr:rowOff>30480</xdr:rowOff>
        </xdr:to>
        <xdr:sp macro="" textlink="">
          <xdr:nvSpPr>
            <xdr:cNvPr id="7252" name="Check Box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0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21</xdr:row>
          <xdr:rowOff>30480</xdr:rowOff>
        </xdr:from>
        <xdr:to>
          <xdr:col>13</xdr:col>
          <xdr:colOff>525780</xdr:colOff>
          <xdr:row>22</xdr:row>
          <xdr:rowOff>30480</xdr:rowOff>
        </xdr:to>
        <xdr:sp macro="" textlink="">
          <xdr:nvSpPr>
            <xdr:cNvPr id="7253" name="Check Box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0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22</xdr:row>
          <xdr:rowOff>30480</xdr:rowOff>
        </xdr:from>
        <xdr:to>
          <xdr:col>13</xdr:col>
          <xdr:colOff>525780</xdr:colOff>
          <xdr:row>23</xdr:row>
          <xdr:rowOff>30480</xdr:rowOff>
        </xdr:to>
        <xdr:sp macro="" textlink="">
          <xdr:nvSpPr>
            <xdr:cNvPr id="7254" name="Check Box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0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</xdr:row>
          <xdr:rowOff>30480</xdr:rowOff>
        </xdr:from>
        <xdr:to>
          <xdr:col>17</xdr:col>
          <xdr:colOff>525780</xdr:colOff>
          <xdr:row>3</xdr:row>
          <xdr:rowOff>30480</xdr:rowOff>
        </xdr:to>
        <xdr:sp macro="" textlink="">
          <xdr:nvSpPr>
            <xdr:cNvPr id="7255" name="Check Box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0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3</xdr:row>
          <xdr:rowOff>30480</xdr:rowOff>
        </xdr:from>
        <xdr:to>
          <xdr:col>17</xdr:col>
          <xdr:colOff>525780</xdr:colOff>
          <xdr:row>4</xdr:row>
          <xdr:rowOff>30480</xdr:rowOff>
        </xdr:to>
        <xdr:sp macro="" textlink="">
          <xdr:nvSpPr>
            <xdr:cNvPr id="7256" name="Check Box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0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4</xdr:row>
          <xdr:rowOff>30480</xdr:rowOff>
        </xdr:from>
        <xdr:to>
          <xdr:col>17</xdr:col>
          <xdr:colOff>525780</xdr:colOff>
          <xdr:row>5</xdr:row>
          <xdr:rowOff>30480</xdr:rowOff>
        </xdr:to>
        <xdr:sp macro="" textlink="">
          <xdr:nvSpPr>
            <xdr:cNvPr id="7257" name="Check Box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0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5</xdr:row>
          <xdr:rowOff>30480</xdr:rowOff>
        </xdr:from>
        <xdr:to>
          <xdr:col>17</xdr:col>
          <xdr:colOff>525780</xdr:colOff>
          <xdr:row>6</xdr:row>
          <xdr:rowOff>30480</xdr:rowOff>
        </xdr:to>
        <xdr:sp macro="" textlink="">
          <xdr:nvSpPr>
            <xdr:cNvPr id="7258" name="Check Box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0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6</xdr:row>
          <xdr:rowOff>30480</xdr:rowOff>
        </xdr:from>
        <xdr:to>
          <xdr:col>17</xdr:col>
          <xdr:colOff>525780</xdr:colOff>
          <xdr:row>7</xdr:row>
          <xdr:rowOff>30480</xdr:rowOff>
        </xdr:to>
        <xdr:sp macro="" textlink="">
          <xdr:nvSpPr>
            <xdr:cNvPr id="7259" name="Check Box 91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0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7</xdr:row>
          <xdr:rowOff>30480</xdr:rowOff>
        </xdr:from>
        <xdr:to>
          <xdr:col>17</xdr:col>
          <xdr:colOff>525780</xdr:colOff>
          <xdr:row>8</xdr:row>
          <xdr:rowOff>30480</xdr:rowOff>
        </xdr:to>
        <xdr:sp macro="" textlink="">
          <xdr:nvSpPr>
            <xdr:cNvPr id="7260" name="Check Box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8</xdr:row>
          <xdr:rowOff>30480</xdr:rowOff>
        </xdr:from>
        <xdr:to>
          <xdr:col>17</xdr:col>
          <xdr:colOff>525780</xdr:colOff>
          <xdr:row>9</xdr:row>
          <xdr:rowOff>30480</xdr:rowOff>
        </xdr:to>
        <xdr:sp macro="" textlink="">
          <xdr:nvSpPr>
            <xdr:cNvPr id="7261" name="Check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0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9</xdr:row>
          <xdr:rowOff>30480</xdr:rowOff>
        </xdr:from>
        <xdr:to>
          <xdr:col>17</xdr:col>
          <xdr:colOff>525780</xdr:colOff>
          <xdr:row>10</xdr:row>
          <xdr:rowOff>30480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0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10</xdr:row>
          <xdr:rowOff>30480</xdr:rowOff>
        </xdr:from>
        <xdr:to>
          <xdr:col>17</xdr:col>
          <xdr:colOff>525780</xdr:colOff>
          <xdr:row>11</xdr:row>
          <xdr:rowOff>30480</xdr:rowOff>
        </xdr:to>
        <xdr:sp macro="" textlink="">
          <xdr:nvSpPr>
            <xdr:cNvPr id="7263" name="Check Box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0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11</xdr:row>
          <xdr:rowOff>30480</xdr:rowOff>
        </xdr:from>
        <xdr:to>
          <xdr:col>17</xdr:col>
          <xdr:colOff>525780</xdr:colOff>
          <xdr:row>12</xdr:row>
          <xdr:rowOff>30480</xdr:rowOff>
        </xdr:to>
        <xdr:sp macro="" textlink="">
          <xdr:nvSpPr>
            <xdr:cNvPr id="7264" name="Check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0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12</xdr:row>
          <xdr:rowOff>30480</xdr:rowOff>
        </xdr:from>
        <xdr:to>
          <xdr:col>17</xdr:col>
          <xdr:colOff>525780</xdr:colOff>
          <xdr:row>13</xdr:row>
          <xdr:rowOff>30480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0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13</xdr:row>
          <xdr:rowOff>30480</xdr:rowOff>
        </xdr:from>
        <xdr:to>
          <xdr:col>17</xdr:col>
          <xdr:colOff>525780</xdr:colOff>
          <xdr:row>14</xdr:row>
          <xdr:rowOff>30480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0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14</xdr:row>
          <xdr:rowOff>30480</xdr:rowOff>
        </xdr:from>
        <xdr:to>
          <xdr:col>17</xdr:col>
          <xdr:colOff>525780</xdr:colOff>
          <xdr:row>15</xdr:row>
          <xdr:rowOff>30480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0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15</xdr:row>
          <xdr:rowOff>30480</xdr:rowOff>
        </xdr:from>
        <xdr:to>
          <xdr:col>17</xdr:col>
          <xdr:colOff>525780</xdr:colOff>
          <xdr:row>16</xdr:row>
          <xdr:rowOff>30480</xdr:rowOff>
        </xdr:to>
        <xdr:sp macro="" textlink="">
          <xdr:nvSpPr>
            <xdr:cNvPr id="7268" name="Check Box 10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0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16</xdr:row>
          <xdr:rowOff>30480</xdr:rowOff>
        </xdr:from>
        <xdr:to>
          <xdr:col>17</xdr:col>
          <xdr:colOff>525780</xdr:colOff>
          <xdr:row>17</xdr:row>
          <xdr:rowOff>30480</xdr:rowOff>
        </xdr:to>
        <xdr:sp macro="" textlink="">
          <xdr:nvSpPr>
            <xdr:cNvPr id="7269" name="Check Box 101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000-00006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17</xdr:row>
          <xdr:rowOff>30480</xdr:rowOff>
        </xdr:from>
        <xdr:to>
          <xdr:col>17</xdr:col>
          <xdr:colOff>525780</xdr:colOff>
          <xdr:row>18</xdr:row>
          <xdr:rowOff>30480</xdr:rowOff>
        </xdr:to>
        <xdr:sp macro="" textlink="">
          <xdr:nvSpPr>
            <xdr:cNvPr id="7270" name="Check Box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0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17</xdr:row>
          <xdr:rowOff>30480</xdr:rowOff>
        </xdr:from>
        <xdr:to>
          <xdr:col>17</xdr:col>
          <xdr:colOff>525780</xdr:colOff>
          <xdr:row>18</xdr:row>
          <xdr:rowOff>30480</xdr:rowOff>
        </xdr:to>
        <xdr:sp macro="" textlink="">
          <xdr:nvSpPr>
            <xdr:cNvPr id="7271" name="Check Box 103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000-00006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18</xdr:row>
          <xdr:rowOff>30480</xdr:rowOff>
        </xdr:from>
        <xdr:to>
          <xdr:col>17</xdr:col>
          <xdr:colOff>525780</xdr:colOff>
          <xdr:row>19</xdr:row>
          <xdr:rowOff>30480</xdr:rowOff>
        </xdr:to>
        <xdr:sp macro="" textlink="">
          <xdr:nvSpPr>
            <xdr:cNvPr id="7272" name="Check Box 104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0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18</xdr:row>
          <xdr:rowOff>30480</xdr:rowOff>
        </xdr:from>
        <xdr:to>
          <xdr:col>17</xdr:col>
          <xdr:colOff>525780</xdr:colOff>
          <xdr:row>19</xdr:row>
          <xdr:rowOff>30480</xdr:rowOff>
        </xdr:to>
        <xdr:sp macro="" textlink="">
          <xdr:nvSpPr>
            <xdr:cNvPr id="7273" name="Check Box 10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0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19</xdr:row>
          <xdr:rowOff>30480</xdr:rowOff>
        </xdr:from>
        <xdr:to>
          <xdr:col>17</xdr:col>
          <xdr:colOff>525780</xdr:colOff>
          <xdr:row>20</xdr:row>
          <xdr:rowOff>30480</xdr:rowOff>
        </xdr:to>
        <xdr:sp macro="" textlink="">
          <xdr:nvSpPr>
            <xdr:cNvPr id="7274" name="Check Box 10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0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19</xdr:row>
          <xdr:rowOff>30480</xdr:rowOff>
        </xdr:from>
        <xdr:to>
          <xdr:col>17</xdr:col>
          <xdr:colOff>525780</xdr:colOff>
          <xdr:row>20</xdr:row>
          <xdr:rowOff>30480</xdr:rowOff>
        </xdr:to>
        <xdr:sp macro="" textlink="">
          <xdr:nvSpPr>
            <xdr:cNvPr id="7275" name="Check Box 10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0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19</xdr:row>
          <xdr:rowOff>30480</xdr:rowOff>
        </xdr:from>
        <xdr:to>
          <xdr:col>17</xdr:col>
          <xdr:colOff>525780</xdr:colOff>
          <xdr:row>20</xdr:row>
          <xdr:rowOff>30480</xdr:rowOff>
        </xdr:to>
        <xdr:sp macro="" textlink="">
          <xdr:nvSpPr>
            <xdr:cNvPr id="7276" name="Check Box 108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0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20</xdr:row>
          <xdr:rowOff>30480</xdr:rowOff>
        </xdr:from>
        <xdr:to>
          <xdr:col>17</xdr:col>
          <xdr:colOff>525780</xdr:colOff>
          <xdr:row>21</xdr:row>
          <xdr:rowOff>30480</xdr:rowOff>
        </xdr:to>
        <xdr:sp macro="" textlink="">
          <xdr:nvSpPr>
            <xdr:cNvPr id="7277" name="Check Box 109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0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20</xdr:row>
          <xdr:rowOff>30480</xdr:rowOff>
        </xdr:from>
        <xdr:to>
          <xdr:col>17</xdr:col>
          <xdr:colOff>525780</xdr:colOff>
          <xdr:row>21</xdr:row>
          <xdr:rowOff>30480</xdr:rowOff>
        </xdr:to>
        <xdr:sp macro="" textlink="">
          <xdr:nvSpPr>
            <xdr:cNvPr id="7278" name="Check Box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0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20</xdr:row>
          <xdr:rowOff>30480</xdr:rowOff>
        </xdr:from>
        <xdr:to>
          <xdr:col>17</xdr:col>
          <xdr:colOff>525780</xdr:colOff>
          <xdr:row>21</xdr:row>
          <xdr:rowOff>30480</xdr:rowOff>
        </xdr:to>
        <xdr:sp macro="" textlink="">
          <xdr:nvSpPr>
            <xdr:cNvPr id="7279" name="Check Box 11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000-00006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21</xdr:row>
          <xdr:rowOff>30480</xdr:rowOff>
        </xdr:from>
        <xdr:to>
          <xdr:col>17</xdr:col>
          <xdr:colOff>525780</xdr:colOff>
          <xdr:row>22</xdr:row>
          <xdr:rowOff>30480</xdr:rowOff>
        </xdr:to>
        <xdr:sp macro="" textlink="">
          <xdr:nvSpPr>
            <xdr:cNvPr id="7280" name="Check Box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0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21</xdr:row>
          <xdr:rowOff>30480</xdr:rowOff>
        </xdr:from>
        <xdr:to>
          <xdr:col>17</xdr:col>
          <xdr:colOff>525780</xdr:colOff>
          <xdr:row>22</xdr:row>
          <xdr:rowOff>30480</xdr:rowOff>
        </xdr:to>
        <xdr:sp macro="" textlink="">
          <xdr:nvSpPr>
            <xdr:cNvPr id="7281" name="Check Box 113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000-00007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21</xdr:row>
          <xdr:rowOff>30480</xdr:rowOff>
        </xdr:from>
        <xdr:to>
          <xdr:col>17</xdr:col>
          <xdr:colOff>525780</xdr:colOff>
          <xdr:row>22</xdr:row>
          <xdr:rowOff>30480</xdr:rowOff>
        </xdr:to>
        <xdr:sp macro="" textlink="">
          <xdr:nvSpPr>
            <xdr:cNvPr id="7282" name="Check Box 114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0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22</xdr:row>
          <xdr:rowOff>30480</xdr:rowOff>
        </xdr:from>
        <xdr:to>
          <xdr:col>17</xdr:col>
          <xdr:colOff>525780</xdr:colOff>
          <xdr:row>23</xdr:row>
          <xdr:rowOff>30480</xdr:rowOff>
        </xdr:to>
        <xdr:sp macro="" textlink="">
          <xdr:nvSpPr>
            <xdr:cNvPr id="7283" name="Check Box 115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0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22</xdr:row>
          <xdr:rowOff>30480</xdr:rowOff>
        </xdr:from>
        <xdr:to>
          <xdr:col>17</xdr:col>
          <xdr:colOff>525780</xdr:colOff>
          <xdr:row>23</xdr:row>
          <xdr:rowOff>30480</xdr:rowOff>
        </xdr:to>
        <xdr:sp macro="" textlink="">
          <xdr:nvSpPr>
            <xdr:cNvPr id="7284" name="Check Box 116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0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</xdr:row>
          <xdr:rowOff>30480</xdr:rowOff>
        </xdr:from>
        <xdr:to>
          <xdr:col>5</xdr:col>
          <xdr:colOff>533400</xdr:colOff>
          <xdr:row>2</xdr:row>
          <xdr:rowOff>0</xdr:rowOff>
        </xdr:to>
        <xdr:sp macro="" textlink="">
          <xdr:nvSpPr>
            <xdr:cNvPr id="7285" name="Check Box 117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0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</xdr:row>
          <xdr:rowOff>30480</xdr:rowOff>
        </xdr:from>
        <xdr:to>
          <xdr:col>9</xdr:col>
          <xdr:colOff>533400</xdr:colOff>
          <xdr:row>2</xdr:row>
          <xdr:rowOff>0</xdr:rowOff>
        </xdr:to>
        <xdr:sp macro="" textlink="">
          <xdr:nvSpPr>
            <xdr:cNvPr id="7286" name="Check Box 118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0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</xdr:row>
          <xdr:rowOff>30480</xdr:rowOff>
        </xdr:from>
        <xdr:to>
          <xdr:col>13</xdr:col>
          <xdr:colOff>533400</xdr:colOff>
          <xdr:row>2</xdr:row>
          <xdr:rowOff>0</xdr:rowOff>
        </xdr:to>
        <xdr:sp macro="" textlink="">
          <xdr:nvSpPr>
            <xdr:cNvPr id="7288" name="Check Box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0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</xdr:row>
          <xdr:rowOff>30480</xdr:rowOff>
        </xdr:from>
        <xdr:to>
          <xdr:col>17</xdr:col>
          <xdr:colOff>533400</xdr:colOff>
          <xdr:row>2</xdr:row>
          <xdr:rowOff>0</xdr:rowOff>
        </xdr:to>
        <xdr:sp macro="" textlink="">
          <xdr:nvSpPr>
            <xdr:cNvPr id="7289" name="Check Box 121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000-00007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0</xdr:row>
          <xdr:rowOff>198120</xdr:rowOff>
        </xdr:from>
        <xdr:to>
          <xdr:col>1</xdr:col>
          <xdr:colOff>495300</xdr:colOff>
          <xdr:row>2</xdr:row>
          <xdr:rowOff>30480</xdr:rowOff>
        </xdr:to>
        <xdr:sp macro="" textlink="">
          <xdr:nvSpPr>
            <xdr:cNvPr id="7293" name="Check Box 125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000-00007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26</xdr:row>
          <xdr:rowOff>274320</xdr:rowOff>
        </xdr:from>
        <xdr:to>
          <xdr:col>8</xdr:col>
          <xdr:colOff>2362200</xdr:colOff>
          <xdr:row>31</xdr:row>
          <xdr:rowOff>106680</xdr:rowOff>
        </xdr:to>
        <xdr:sp macro="" textlink="">
          <xdr:nvSpPr>
            <xdr:cNvPr id="7294" name="Button 126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000-00007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Efficiencies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30480</xdr:rowOff>
        </xdr:from>
        <xdr:to>
          <xdr:col>10</xdr:col>
          <xdr:colOff>297180</xdr:colOff>
          <xdr:row>1</xdr:row>
          <xdr:rowOff>190500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2</xdr:row>
      <xdr:rowOff>171450</xdr:rowOff>
    </xdr:from>
    <xdr:to>
      <xdr:col>19</xdr:col>
      <xdr:colOff>152400</xdr:colOff>
      <xdr:row>28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104074</xdr:colOff>
      <xdr:row>9</xdr:row>
      <xdr:rowOff>62999</xdr:rowOff>
    </xdr:from>
    <xdr:to>
      <xdr:col>1</xdr:col>
      <xdr:colOff>466024</xdr:colOff>
      <xdr:row>9</xdr:row>
      <xdr:rowOff>424949</xdr:rowOff>
    </xdr:to>
    <xdr:pic macro="[0]!ReRunXLSTAT">
      <xdr:nvPicPr>
        <xdr:cNvPr id="22" name="BT179039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235" y="185420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8</xdr:col>
      <xdr:colOff>199644</xdr:colOff>
      <xdr:row>0</xdr:row>
      <xdr:rowOff>40005</xdr:rowOff>
    </xdr:from>
    <xdr:to>
      <xdr:col>10</xdr:col>
      <xdr:colOff>33909</xdr:colOff>
      <xdr:row>1</xdr:row>
      <xdr:rowOff>160020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52919" y="40005"/>
          <a:ext cx="1234440" cy="32004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CA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3" name="TX179039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069975" y="180022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CA" sz="1100"/>
            <a:t>RunProcPCA
Form22.txt
CheckBoxTrans,CheckBox,0,False,03,False,Trans,False,,,
TextBoxList,TextBox,,False,04,False,,False,,,
RefEditT,RefEdit0,'Sheet2'!$C$1:$U$38,True,000000000100_General,True,,False,,38,19
RefEdit_W,RefEdit0,,True,000000000601_General,True,Weights:,False,,,
CheckBox_W,CheckBox,0,True,000000000501_General,True,Weights,False,,,
CheckBox_ObsLabels,CheckBox,-1,True,000000000301_General,True,Observation labels,False,,,
RefEdit_ObsLabels,RefEdit0,'Sheet2'!$A$1:$A$38,True,000000000401_General,True,Observation labels:,False,,38,1
OptionButtonOV,OptionButton,-1,True,000000010500_General,True,Observations/variables table,False,,,
OptionButtonCorr,OptionButton,0,True,000000020500_General,True,Correlation matrix,False,,,
OptionButtonCov,OptionButton,0,True,000000030500_General,True,Covariance matrix,False,,,
ComboBoxType,ComboBox,0,True,000000000700_General,True,Select the type of PCA to perform,False,,,
CheckBox_Desc,CheckBox,-1,True,400000000000_Outputs,True,Descriptive statistics,False,,,
CheckBox_Corr,CheckBox,-1,True,400000000100_Outputs,True,Correlations,False,,,
CheckBoxSig,CheckBox,-1,True,400000000200_Outputs,True,Test significance,False,,,
TextBox_conf,TextBox,5,True,400000010300_Outputs,True,Significance level (%):,False,,,
CheckBoxBartlett,CheckBox,0,True,400000000400_Outputs,True,Bartlett's sphericity test,False,,,
CheckBoxKMO,CheckBox,0,True,400000000500_Outputs,True,Kaiser-Meyer-Olkin,False,,,
CheckBox_RankedMat,CheckBox,0,False,400000000600_Outputs,False,Ranks matrix,False,,,
CheckBoxLoadings,CheckBox,-1,True,400000000101_Outputs,True,Factor loadings,False,,,
CheckBoxScores,CheckBox,-1,True,400000000301_Outputs,True,Factor scores,False,,,
CheckBoxCorrFactVar,CheckBox,-1,True,400000000201_Outputs,True,Variables/Factors correlations,False,,,
CheckBoxEigen,CheckBox,-1,True,400000000001_Outputs,True,Eigenvalues,False,,,
CheckBoxContrib,CheckBox,-1,True,400000000401_Outputs,True,Contributions,False,,,
CheckBoxCos,CheckBox,-1,True,400000000501_Outputs,True,Squared cosines,False,,,
CheckBoxSuppObs,CheckBox,0,True,200000000000_Supplementary data,True,Supplementary observations,False,,,
RefEdit_SuppObs,RefEdit0,,True,200000000100_Supplementary data,True,,False,,,
CheckBox_VarLabelsSuppObs,CheckBox,0,True,200000000200_Supplementary data,True,Var. labels for supp. obs,False,,,
CheckBox_ObsLabelsSuppObs,CheckBox,0,True,200000000300_Supplementary data,True,Supp. obs labels,False,,,
RefEdit_ObsSuppLabels,RefEdit0,,True,200000000400_Supplementary data,True,,False,,,
CheckBoxSuppVar,CheckBox,0,True,200000000001_Supplementary data,True,Supplementary variables,False,,,
RefEdit_Q,RefEdit0,,True,200000000401_Supplementary data,True,Qualitative:,False,,,
CheckBox_Q,CheckBox,0,True,200000000301_Supplementary data,True,Qualitative,False,,,
RefEdit_X,RefEdit0,,True,200000000201_Supplementary data,True,Quantitative:,False,,,
CheckBox_X,CheckBox,0,True,200000000101_Supplementary data,True,Quantitative,False,,,
CheckBoxCentroids,CheckBox,0,True,200000000501_Supplementary data,True,Display centroids,False,,,
OptionButton_MVRemove,OptionButton,-1,True,300000000100_Data options,True,Remove the observations,False,,,
OptionButton_MVRefuse,OptionButton,0,True,300000000000_Data options,True,Do not accept missing data,False,,,
OptionButton_MeanMode,OptionButton,-1,True,300000000400_Data options,True,Mean or mode,False,,,
OptionButton_NN,OptionButton,0,True,300000010400_Data options,True,Nearest neighbor,False,,,
OptionButton_MVEstimate,OptionButton,0,True,300000000300_Data options,True,Estimate missing data,False,,,
OptionButton_MVPair,OptionButton,0,True,300000000200_Data options,True,Pairwise deletion,False,,,
OptionButton_MVReplace0,OptionButton,0,False,300000000500_Data options,False,Replace missing data by 0,False,,,
RefEditGroups,RefEdit0,,True,300000000101_Data options,True,,False,,,
CheckBoxByGroup,CheckBox,0,True,300000000001_Data options,True,By group analysis,False,,,
OptionButton_ByGroups,OptionButton,-1,True,300000000301_Data options,True,One PCA per group,False,,,
OptionButton_ByGroupsSelected,OptionButton,0,True,300000010301_Data options,True,One PCA per selected group,False,,,
OptionButton_GroupsMerged,OptionButton,0,True,300000020301_Data options,True,One PCA on merged groups,False,,,
CheckBoxIndCharts,CheckBox,-1,True,510000000000_Charts|Observations,True,Observations charts,False,,,
CheckBoxLabelsInd,CheckBox,-1,True,510000000100_Charts|Observations,True,Labels,False,,,
CheckBoxColorsLabelObs,CheckBox,0,True,510000000200_Charts|Observations,True,Colored labels,False,,,
CheckBoxSizeObs,CheckBox,0,True,510000000300_Charts|Observations,True,Resize points with Cos2,False,,,
CheckBoxColorObsGroup,CheckBox,0,True,510000000400_Charts|Observations,True,Color by group,False,,,
RefEditColorObsGroup,RefEdit0,,True,510000000500_Charts|Observations,True,Color by group,False,,,
CheckBoxEllipseGroup,CheckBox,0,True,510000000600_Charts|Observations,True,Confidence ellipses,False,,,
TextBox_Conf_Ellipse,TextBox,95,True,510000010700_Charts|Observations,True,,False,,,
RefEditGroupFilter,RefEdit0,,True,510000000501_Charts|Observations,True,Group variable:,False,,,
TextBoxPoints,TextBox,0.5,True,510000000301_Charts|Observations,True,Sum(Cos2)&gt;,False,,,
ComboBoxFilter,ComboBox,4,True,510000000101_Charts|Observations,True,Select the filtering option,False,,,
CheckBoxChartsFilter,CheckBox,0,True,510000000001_Charts|Observations,True,Filter,False,,,
CheckBoxVectors,CheckBox,-1,True,500000000000_Charts|Variables,True,Vectors,False,,,
CheckBoxCorrCharts,CheckBox,-1,True,500000000100_Charts|Variables,True,Correlation charts,False,,,
CheckBoxColorsVar,CheckBox,0,True,500000000200_Charts|Variables,True,Colored labels,False,,,
CheckBoxColorVarGroup,CheckBox,0,True,500000000300_Charts|Variables,True,Color by group,False,,,
RefEditColorVarGroup,RefEdit,,True,500000000400_Charts|Variables,True,Color by group,False,,,
CheckBoxSizeVar,CheckBox,0,True,500000000500_Charts|Variables,True,Resize points with Cos2,False,,,
CheckBoxLabelAngle,CheckBox,0,True,500000000600_Charts|Variables,True,Orientate labels,False,,,
RefEditGroupFilterVar,RefEdit,,True,500000000501_Charts|Variables,True,Group variable:,False,,,
TextBoxPointsVar,TextBox,0.5,True,500000000301_Charts|Variables,True,Sum(Cos2)&gt;,False,,,
ComboBoxFilterVar,ComboBox,4,True,500000000101_Charts|Variables,True,Select the filtering option,False,,,
CheckBoxChartsFilterVar,CheckBox,0,True,500000000001_Charts|Variables,True,Filter,False,,,
CheckBoxBiplotVectorsVar,CheckBox,-1,True,520000000200_Charts|Biplots,True,Vectors,False,,,
CheckBoxBiplotLabelsVar,CheckBox,-1,True,520000000300_Charts|Biplots,True,Labels,False,,,
CheckBoxBiplots,CheckBox,-1,True,520000000000_Charts|Biplots,True,Biplots,False,,,
CheckBoxBiplotLabelsObs,CheckBox,-1,True,520000000500_Charts|Biplots,True,Labels,False,,,
CheckBoxBiplotSuppObsVar,CheckBox,-1,True,520000000700_Charts|Biplots,True,Supp. Obs/Var,False,,,
CheckBoxBiplotFilterObsVar,CheckBox,-1,True,520000000800_Charts|Biplots,True,Filter Obs/Var,False,,,
ComboBoxBiplot,ComboBox,1,True,520000000101_Charts|Biplots,True,Select the type of biplot,False,,,
ComboBoxScale,ComboBox,3,True,520000000301_Charts|Biplots,True,Coefficient:,False,,,
TextBoxScale,TextBox,1,False,520000000401_Charts|Biplots,False,Coefficient:,False,,,
OptionButtonEllipseBoot,OptionButton,0,True,530000020000_Charts|Bootstrap charts,True,Confidence ellipses,False,,,
OptionButtonConvexHullBoot,OptionButton,-1,True,530000010000_Charts|Bootstrap charts,True,Convex hulls,False,,,
CheckBoxBootChart,CheckBox,0,True,530000000100_Charts|Bootstrap charts,True,Bootstrap observations chart,False,,,
TextBoxNbSampleBoot,TextBox,50,True,530000010200_Charts|Bootstrap charts,True,Number of samples:,False,,,
CheckBoxColorObsBoot,CheckBox,0,True,530000000300_Charts|Bootstrap charts,True,Color observations,False,,,
CheckBoxChartsFilterBoot,CheckBox,0,True,530000000400_Charts|Bootstrap charts,True,Filter observations,False,,,
ComboBoxRotation,ComboBox,0,True,100000000401_Options,True,Select the type of rotation,False,,,
CheckBoxRotation,CheckBox,0,True,100000000001_Options,True,Rotation,False,,,
TextBoxGammTau,TextBox,0,False,100000000701_Options,False,,False,,,
CheckBoxKaiser,CheckBox,0,True,100000000501_Options,True,Kaiser normalization,False,,,
TextBoxNbFact,TextBox,2,True,100000000201_Options,True,Number of factors:,False,,,
FileSelect1,CommandButton,,False,000000000400_General,False,,False,,,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FileSelect2,CommandButton,,False,200000000500_Supplementary data,False,,False,,,
ScrollBarSelect,ScrollBar,0,False,05,False,,,,,
CheckBoxMaxFilter,CheckBox,-1,True,100000030000_Options,True,Maximum number,False,,,
TextBoxCompMax,TextBox,5,True,100000040000_Options,True,,False,,,
CheckBoxMinFilter,CheckBox,0,True,100000010000_Options,True,Minimum %,False,,,
TextBoxMinPerc,TextBox,80,True,100000020000_Options,True,,False,,,
OptionButton_Std_n1,OptionButton,0,True,100000020100_Options,True,n-1,False,,,
OptionButton_Std_n,OptionButton,-1,True,100000010100_Options,True,n,False,,,
CheckBoxBiplotColorGroupObsVar,CheckBox,-1,True,520000000900_Charts|Biplots,True,Color Obs/Var,False,,,
CheckBoxDisplay2Axes,CheckBox,0,True,100000040100_Options,True,Display charts on the first two axes,False,,,
SpinButtonCompMax,SpinButton,5,True,100000050000_Options,False,,,,,
</a:t>
          </a:r>
        </a:p>
      </xdr:txBody>
    </xdr:sp>
    <xdr:clientData/>
  </xdr:twoCellAnchor>
  <xdr:twoCellAnchor editAs="oneCell">
    <xdr:from>
      <xdr:col>0</xdr:col>
      <xdr:colOff>358775</xdr:colOff>
      <xdr:row>9</xdr:row>
      <xdr:rowOff>0</xdr:rowOff>
    </xdr:from>
    <xdr:to>
      <xdr:col>1</xdr:col>
      <xdr:colOff>12700</xdr:colOff>
      <xdr:row>9</xdr:row>
      <xdr:rowOff>25400</xdr:rowOff>
    </xdr:to>
    <xdr:sp macro="" textlink="">
      <xdr:nvSpPr>
        <xdr:cNvPr id="4" name="RAND_ID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358775" y="180022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CA" sz="1100"/>
            <a:t>179039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1</xdr:col>
      <xdr:colOff>2063750</xdr:colOff>
      <xdr:row>9</xdr:row>
      <xdr:rowOff>466725</xdr:rowOff>
    </xdr:to>
    <xdr:sp macro="" textlink="">
      <xdr:nvSpPr>
        <xdr:cNvPr id="5" name="BK179039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377825" y="1806575"/>
          <a:ext cx="20574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CA" sz="1100"/>
        </a:p>
      </xdr:txBody>
    </xdr:sp>
    <xdr:clientData/>
  </xdr:twoCellAnchor>
  <xdr:twoCellAnchor editAs="absolute">
    <xdr:from>
      <xdr:col>1</xdr:col>
      <xdr:colOff>111760</xdr:colOff>
      <xdr:row>9</xdr:row>
      <xdr:rowOff>53975</xdr:rowOff>
    </xdr:from>
    <xdr:to>
      <xdr:col>1</xdr:col>
      <xdr:colOff>473710</xdr:colOff>
      <xdr:row>9</xdr:row>
      <xdr:rowOff>415925</xdr:rowOff>
    </xdr:to>
    <xdr:pic macro="[0]!ReRunXLSTAT">
      <xdr:nvPicPr>
        <xdr:cNvPr id="21" name="BT179039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235" y="185420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111760</xdr:colOff>
      <xdr:row>9</xdr:row>
      <xdr:rowOff>53975</xdr:rowOff>
    </xdr:from>
    <xdr:to>
      <xdr:col>1</xdr:col>
      <xdr:colOff>473710</xdr:colOff>
      <xdr:row>9</xdr:row>
      <xdr:rowOff>415925</xdr:rowOff>
    </xdr:to>
    <xdr:pic macro="[0]!ReRunXLSTAT">
      <xdr:nvPicPr>
        <xdr:cNvPr id="20" name="BT17903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235" y="185420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607060</xdr:colOff>
      <xdr:row>9</xdr:row>
      <xdr:rowOff>53975</xdr:rowOff>
    </xdr:from>
    <xdr:to>
      <xdr:col>1</xdr:col>
      <xdr:colOff>969010</xdr:colOff>
      <xdr:row>9</xdr:row>
      <xdr:rowOff>415925</xdr:rowOff>
    </xdr:to>
    <xdr:pic macro="[0]!AddRemovGrid">
      <xdr:nvPicPr>
        <xdr:cNvPr id="7" name="RM179039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8535" y="185420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607060</xdr:colOff>
      <xdr:row>9</xdr:row>
      <xdr:rowOff>53975</xdr:rowOff>
    </xdr:from>
    <xdr:to>
      <xdr:col>1</xdr:col>
      <xdr:colOff>969010</xdr:colOff>
      <xdr:row>9</xdr:row>
      <xdr:rowOff>415925</xdr:rowOff>
    </xdr:to>
    <xdr:pic macro="[0]!AddRemovGrid">
      <xdr:nvPicPr>
        <xdr:cNvPr id="8" name="AD179039" hidden="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535" y="185420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1102360</xdr:colOff>
      <xdr:row>9</xdr:row>
      <xdr:rowOff>53975</xdr:rowOff>
    </xdr:from>
    <xdr:to>
      <xdr:col>1</xdr:col>
      <xdr:colOff>1464310</xdr:colOff>
      <xdr:row>9</xdr:row>
      <xdr:rowOff>415925</xdr:rowOff>
    </xdr:to>
    <xdr:pic macro="[0]!SendToOfficeLocal">
      <xdr:nvPicPr>
        <xdr:cNvPr id="9" name="WD179039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3835" y="185420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1597660</xdr:colOff>
      <xdr:row>9</xdr:row>
      <xdr:rowOff>53975</xdr:rowOff>
    </xdr:from>
    <xdr:to>
      <xdr:col>1</xdr:col>
      <xdr:colOff>1959610</xdr:colOff>
      <xdr:row>9</xdr:row>
      <xdr:rowOff>415925</xdr:rowOff>
    </xdr:to>
    <xdr:pic macro="[0]!SendToOfficeLocal">
      <xdr:nvPicPr>
        <xdr:cNvPr id="10" name="PT17903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69135" y="1854200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75</xdr:row>
      <xdr:rowOff>0</xdr:rowOff>
    </xdr:from>
    <xdr:to>
      <xdr:col>7</xdr:col>
      <xdr:colOff>0</xdr:colOff>
      <xdr:row>91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165</xdr:row>
      <xdr:rowOff>0</xdr:rowOff>
    </xdr:from>
    <xdr:to>
      <xdr:col>2</xdr:col>
      <xdr:colOff>273050</xdr:colOff>
      <xdr:row>181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6350</xdr:colOff>
      <xdr:row>234</xdr:row>
      <xdr:rowOff>22861</xdr:rowOff>
    </xdr:from>
    <xdr:to>
      <xdr:col>1</xdr:col>
      <xdr:colOff>187325</xdr:colOff>
      <xdr:row>235</xdr:row>
      <xdr:rowOff>3811</xdr:rowOff>
    </xdr:to>
    <xdr:pic macro="[2]!RunArrowDown">
      <xdr:nvPicPr>
        <xdr:cNvPr id="13" name="ArrDwn_5020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7825" y="48467011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269</xdr:row>
      <xdr:rowOff>0</xdr:rowOff>
    </xdr:from>
    <xdr:to>
      <xdr:col>1</xdr:col>
      <xdr:colOff>38100</xdr:colOff>
      <xdr:row>269</xdr:row>
      <xdr:rowOff>25400</xdr:rowOff>
    </xdr:to>
    <xdr:sp macro="" textlink="">
      <xdr:nvSpPr>
        <xdr:cNvPr id="14" name="TX110150" hidden="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384175" y="554545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CA" sz="1100"/>
            <a:t>RunProcHAC
Form17.txt
RefEditT,RefEdit0,'XLSTAT_20230403_150129_1'!$C$235:$G$267,,,,,,
RefEdit_ObsLabels,RefEdit0,'XLSTAT_20230403_150129_1'!$B$235:$B$267,,,,,,
CheckBoxVarLabels,CheckBox,True,,,,,,
CheckBox_ObsLabels,CheckBox,True,,,,,,
</a:t>
          </a:r>
        </a:p>
      </xdr:txBody>
    </xdr:sp>
    <xdr:clientData/>
  </xdr:twoCellAnchor>
  <xdr:twoCellAnchor editAs="oneCell">
    <xdr:from>
      <xdr:col>1</xdr:col>
      <xdr:colOff>25399</xdr:colOff>
      <xdr:row>268</xdr:row>
      <xdr:rowOff>25400</xdr:rowOff>
    </xdr:from>
    <xdr:to>
      <xdr:col>1</xdr:col>
      <xdr:colOff>374649</xdr:colOff>
      <xdr:row>269</xdr:row>
      <xdr:rowOff>174625</xdr:rowOff>
    </xdr:to>
    <xdr:pic macro="[0]!ReRunXLSTAT">
      <xdr:nvPicPr>
        <xdr:cNvPr id="15" name="BT110150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874" y="55279925"/>
          <a:ext cx="349250" cy="34925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rgbClr val="ED753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5400000" rotWithShape="0">
            <a:srgbClr val="000000">
              <a:alpha val="40000"/>
            </a:srgbClr>
          </a:outerShdw>
        </a:effectLst>
      </xdr:spPr>
    </xdr:pic>
    <xdr:clientData fPrintsWithSheet="0"/>
  </xdr:twoCellAnchor>
  <xdr:twoCellAnchor>
    <xdr:from>
      <xdr:col>1</xdr:col>
      <xdr:colOff>0</xdr:colOff>
      <xdr:row>272</xdr:row>
      <xdr:rowOff>0</xdr:rowOff>
    </xdr:from>
    <xdr:to>
      <xdr:col>7</xdr:col>
      <xdr:colOff>0</xdr:colOff>
      <xdr:row>288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290</xdr:row>
      <xdr:rowOff>0</xdr:rowOff>
    </xdr:from>
    <xdr:to>
      <xdr:col>7</xdr:col>
      <xdr:colOff>0</xdr:colOff>
      <xdr:row>306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355</xdr:row>
      <xdr:rowOff>0</xdr:rowOff>
    </xdr:from>
    <xdr:to>
      <xdr:col>7</xdr:col>
      <xdr:colOff>0</xdr:colOff>
      <xdr:row>371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358775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9" name="XP179039" hidden="1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358775" y="4000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CA" sz="1100"/>
            <a:t>PCA*SEP*Summary statistics*SEP*$B$17
PCA*SEP*Correlation matrix (Pearson (n))*SEP*$B$41
PCA*SEP*Principal Component Analysis*SEP*$B$66
PCA*SEP*Eigenvalues*SEP*$B$68
PCA*SEP*Eigenvectors*SEP*$B$94
PCA*SEP*Factor loadings*SEP*$B$118
PCA*SEP*Correlations between variables and factors*SEP*$B$142
PCA*SEP*Contribution of the variables (%)*SEP*$B$184
PCA*SEP*Squared cosines of the variables*SEP*$B$208
PCA*SEP*Factor scores*SEP*$B$233
PCA*SEP*Contribution of the observations (%)*SEP*$B$309
PCA*SEP*Axes homogeneity index*SEP*$B$346
PCA*SEP*Squared cosines of the observations*SEP*$B$374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9</xdr:row>
          <xdr:rowOff>464820</xdr:rowOff>
        </xdr:from>
        <xdr:to>
          <xdr:col>1</xdr:col>
          <xdr:colOff>2049780</xdr:colOff>
          <xdr:row>10</xdr:row>
          <xdr:rowOff>198120</xdr:rowOff>
        </xdr:to>
        <xdr:sp macro="" textlink="">
          <xdr:nvSpPr>
            <xdr:cNvPr id="58369" name="DD621437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toronto-my.sharepoint.com/personal/annemarie_lavoie_mail_utoronto_ca/Documents/MIE1623%20-%20Healthcare%20OP%20Engineering/Project%20-%20due%2005.04.2023/Standard-Deviation.xlsm" TargetMode="External"/><Relationship Id="rId1" Type="http://schemas.openxmlformats.org/officeDocument/2006/relationships/externalLinkPath" Target="https://utoronto-my.sharepoint.com/personal/annemarie_lavoie_mail_utoronto_ca/Documents/MIE1623%20-%20Healthcare%20OP%20Engineering/Project%20-%20due%2005.04.2023/Standard-Devi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Addinsoft\XLSTAT\XLSTAT.xla" TargetMode="External"/><Relationship Id="rId1" Type="http://schemas.openxmlformats.org/officeDocument/2006/relationships/externalLinkPath" Target="file:///C:\Program%20Files\Addinsoft\XLSTAT\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 Do List"/>
      <sheetName val="Selector"/>
      <sheetName val="Output"/>
      <sheetName val="Input"/>
      <sheetName val="Normalized_Output"/>
      <sheetName val="Normalized_Input"/>
      <sheetName val="Calculations"/>
      <sheetName val="New-CALC"/>
      <sheetName val="testing metrics"/>
      <sheetName val="Results"/>
      <sheetName val="ORG-Metrics"/>
      <sheetName val="REF LIST"/>
      <sheetName val="Main Page"/>
      <sheetName val="Sheet3"/>
      <sheetName val="Hospital Parsing"/>
      <sheetName val="Teaching Hospitals (Size)"/>
      <sheetName val="Non-Teaching Hospitals (Size)"/>
      <sheetName val="Standard Deviation-Teaching"/>
      <sheetName val="Standard Deviation-Non Teaching"/>
      <sheetName val="PCA"/>
      <sheetName val="XLSTAT_20230404_233340_1_HID3"/>
      <sheetName val="XLSTAT_20230404_233340_1_HID2"/>
      <sheetName val="XLSTAT_20230404_233340_1_HID1"/>
      <sheetName val="XLSTAT_20230404_233340_1_HI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Hospital ID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XLSTAT"/>
    </sheetNames>
    <definedNames>
      <definedName name="RunArrowDow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90C68-8091-44BD-82C5-D8E1AA0A777B}">
  <sheetPr codeName="Sheet3">
    <tabColor theme="5"/>
  </sheetPr>
  <dimension ref="A1:T31"/>
  <sheetViews>
    <sheetView showGridLines="0" tabSelected="1" zoomScale="85" zoomScaleNormal="85" workbookViewId="0">
      <selection activeCell="X15" sqref="X15"/>
    </sheetView>
  </sheetViews>
  <sheetFormatPr defaultColWidth="8.8984375" defaultRowHeight="15.6" outlineLevelCol="1" x14ac:dyDescent="0.3"/>
  <cols>
    <col min="1" max="1" width="25.3984375" customWidth="1"/>
    <col min="2" max="2" width="8.8984375" customWidth="1"/>
    <col min="3" max="3" width="12.09765625" hidden="1" customWidth="1" outlineLevel="1"/>
    <col min="4" max="4" width="7.09765625" customWidth="1" collapsed="1"/>
    <col min="5" max="5" width="32.8984375" bestFit="1" customWidth="1"/>
    <col min="6" max="6" width="8.3984375" customWidth="1"/>
    <col min="7" max="7" width="13.8984375" hidden="1" customWidth="1" outlineLevel="1"/>
    <col min="8" max="8" width="10.09765625" customWidth="1" collapsed="1"/>
    <col min="9" max="9" width="32.8984375" bestFit="1" customWidth="1"/>
    <col min="10" max="10" width="8" customWidth="1"/>
    <col min="11" max="11" width="9" hidden="1" customWidth="1" outlineLevel="1"/>
    <col min="12" max="12" width="9" collapsed="1"/>
    <col min="13" max="13" width="17.59765625" customWidth="1"/>
    <col min="15" max="15" width="12.09765625" hidden="1" customWidth="1" outlineLevel="1"/>
    <col min="16" max="16" width="13.5" customWidth="1" collapsed="1"/>
    <col min="17" max="17" width="21.3984375" bestFit="1" customWidth="1"/>
    <col min="19" max="19" width="8.8984375" hidden="1" customWidth="1" outlineLevel="1"/>
    <col min="20" max="20" width="9" collapsed="1"/>
  </cols>
  <sheetData>
    <row r="1" spans="1:19" ht="16.2" thickBot="1" x14ac:dyDescent="0.35">
      <c r="A1" s="66" t="s">
        <v>0</v>
      </c>
      <c r="B1" s="67" t="s">
        <v>1</v>
      </c>
      <c r="C1" s="65" t="s">
        <v>2</v>
      </c>
      <c r="E1" s="154" t="s">
        <v>3</v>
      </c>
      <c r="F1" s="155" t="s">
        <v>1</v>
      </c>
      <c r="G1" t="s">
        <v>2</v>
      </c>
      <c r="I1" s="156" t="s">
        <v>4</v>
      </c>
      <c r="J1" s="156" t="s">
        <v>1</v>
      </c>
      <c r="K1" t="s">
        <v>2</v>
      </c>
      <c r="M1" s="157" t="s">
        <v>5</v>
      </c>
      <c r="N1" s="157" t="s">
        <v>1</v>
      </c>
      <c r="O1" t="s">
        <v>2</v>
      </c>
      <c r="Q1" s="158" t="s">
        <v>6</v>
      </c>
      <c r="R1" s="158" t="s">
        <v>1</v>
      </c>
      <c r="S1" t="s">
        <v>2</v>
      </c>
    </row>
    <row r="2" spans="1:19" x14ac:dyDescent="0.3">
      <c r="A2" s="159" t="s">
        <v>7</v>
      </c>
      <c r="B2" s="160"/>
      <c r="C2" t="b">
        <v>0</v>
      </c>
      <c r="E2" s="159" t="s">
        <v>8</v>
      </c>
      <c r="F2" s="160"/>
      <c r="G2" t="b">
        <v>0</v>
      </c>
      <c r="I2" s="159" t="s">
        <v>8</v>
      </c>
      <c r="J2" s="160"/>
      <c r="K2" t="b">
        <v>0</v>
      </c>
      <c r="M2" s="159" t="s">
        <v>9</v>
      </c>
      <c r="N2" s="160"/>
      <c r="O2" t="b">
        <v>0</v>
      </c>
      <c r="Q2" s="159" t="s">
        <v>9</v>
      </c>
      <c r="R2" s="160"/>
      <c r="S2" t="b">
        <v>0</v>
      </c>
    </row>
    <row r="3" spans="1:19" x14ac:dyDescent="0.3">
      <c r="E3" s="161" t="str" cm="1">
        <f t="array" ref="E3:E22">Sheet3!A3:A22</f>
        <v>Teaching 
Emphasis</v>
      </c>
      <c r="F3" s="162"/>
      <c r="G3" t="b">
        <v>0</v>
      </c>
      <c r="I3" s="163" t="str" cm="1">
        <f t="array" ref="I3:I22">Sheet3!A3:A22</f>
        <v>Teaching 
Emphasis</v>
      </c>
      <c r="J3" s="162"/>
      <c r="K3" t="b">
        <v>0</v>
      </c>
      <c r="M3" s="164" t="str" cm="1">
        <f t="array" ref="M3:M20">_xlfn._xlws.FILTER('Hospital Parsing'!B1:B38,'Hospital Parsing'!D1:D38=1)</f>
        <v>AB</v>
      </c>
      <c r="N3" s="162"/>
      <c r="O3" t="b">
        <v>1</v>
      </c>
      <c r="Q3" s="164" t="str" cm="1">
        <f t="array" ref="Q3:Q21">_xlfn._xlws.FILTER('Hospital Parsing'!B1:B38,'Hospital Parsing'!D1:D38=0)</f>
        <v>AD</v>
      </c>
      <c r="R3" s="162"/>
      <c r="S3" t="b">
        <v>0</v>
      </c>
    </row>
    <row r="4" spans="1:19" x14ac:dyDescent="0.3">
      <c r="D4" s="125" t="s">
        <v>10</v>
      </c>
      <c r="E4" s="161" t="str">
        <v>Cost per Patient-day</v>
      </c>
      <c r="F4" s="162"/>
      <c r="G4" t="b">
        <v>1</v>
      </c>
      <c r="I4" s="163" t="str">
        <v>Cost per Patient-day</v>
      </c>
      <c r="J4" s="162"/>
      <c r="K4" t="b">
        <v>0</v>
      </c>
      <c r="M4" s="164" t="str">
        <v>AJ</v>
      </c>
      <c r="N4" s="162"/>
      <c r="O4" t="b">
        <v>1</v>
      </c>
      <c r="Q4" s="164" t="str">
        <v>C</v>
      </c>
      <c r="R4" s="162"/>
      <c r="S4" t="b">
        <v>0</v>
      </c>
    </row>
    <row r="5" spans="1:19" x14ac:dyDescent="0.3">
      <c r="E5" s="161" t="str">
        <v>Surgical Cases</v>
      </c>
      <c r="F5" s="162"/>
      <c r="G5" t="b">
        <v>0</v>
      </c>
      <c r="H5" s="125" t="s">
        <v>10</v>
      </c>
      <c r="I5" s="163" t="str">
        <v>Surgical Cases</v>
      </c>
      <c r="J5" s="162"/>
      <c r="K5" t="b">
        <v>1</v>
      </c>
      <c r="M5" s="164" t="str">
        <v>E</v>
      </c>
      <c r="N5" s="162"/>
      <c r="O5" t="b">
        <v>1</v>
      </c>
      <c r="Q5" s="164" t="str">
        <v>N</v>
      </c>
      <c r="R5" s="162"/>
      <c r="S5" t="b">
        <v>0</v>
      </c>
    </row>
    <row r="6" spans="1:19" x14ac:dyDescent="0.3">
      <c r="E6" s="161" t="str">
        <v>Death Rate</v>
      </c>
      <c r="F6" s="162"/>
      <c r="G6" t="b">
        <v>0</v>
      </c>
      <c r="I6" s="163" t="str">
        <v>Death Rate</v>
      </c>
      <c r="J6" s="162"/>
      <c r="K6" t="b">
        <v>0</v>
      </c>
      <c r="M6" s="164" t="str">
        <v>L</v>
      </c>
      <c r="N6" s="162"/>
      <c r="O6" t="b">
        <v>1</v>
      </c>
      <c r="Q6" s="164" t="str">
        <v>O</v>
      </c>
      <c r="R6" s="162"/>
      <c r="S6" t="b">
        <v>0</v>
      </c>
    </row>
    <row r="7" spans="1:19" x14ac:dyDescent="0.3">
      <c r="E7" s="161" t="str">
        <v>Cardiac Arrest Rate</v>
      </c>
      <c r="F7" s="162"/>
      <c r="G7" t="b">
        <v>0</v>
      </c>
      <c r="I7" s="163" t="str">
        <v>Cardiac Arrest Rate</v>
      </c>
      <c r="J7" s="162"/>
      <c r="K7" t="b">
        <v>0</v>
      </c>
      <c r="M7" s="164" t="str">
        <v>M</v>
      </c>
      <c r="N7" s="162"/>
      <c r="O7" t="b">
        <v>1</v>
      </c>
      <c r="Q7" s="164" t="str">
        <v>T</v>
      </c>
      <c r="R7" s="162"/>
      <c r="S7" t="b">
        <v>0</v>
      </c>
    </row>
    <row r="8" spans="1:19" x14ac:dyDescent="0.3">
      <c r="E8" s="161" t="str">
        <v xml:space="preserve"> Post-Surgery AMI Rate</v>
      </c>
      <c r="F8" s="162"/>
      <c r="G8" t="b">
        <v>0</v>
      </c>
      <c r="I8" s="163" t="str">
        <v xml:space="preserve"> Post-Surgery AMI Rate</v>
      </c>
      <c r="J8" s="162"/>
      <c r="K8" t="b">
        <v>0</v>
      </c>
      <c r="M8" s="164" t="str">
        <v>Q</v>
      </c>
      <c r="N8" s="162"/>
      <c r="O8" t="b">
        <v>1</v>
      </c>
      <c r="Q8" s="164" t="str">
        <v>V</v>
      </c>
      <c r="R8" s="162"/>
      <c r="S8" t="b">
        <v>0</v>
      </c>
    </row>
    <row r="9" spans="1:19" x14ac:dyDescent="0.3">
      <c r="D9" s="125" t="s">
        <v>10</v>
      </c>
      <c r="E9" s="161" t="str">
        <v>Surgical Site Infections Rate</v>
      </c>
      <c r="F9" s="162"/>
      <c r="G9" t="b">
        <v>0</v>
      </c>
      <c r="I9" s="163" t="str">
        <v>Surgical Site Infections Rate</v>
      </c>
      <c r="J9" s="162"/>
      <c r="K9" t="b">
        <v>0</v>
      </c>
      <c r="M9" s="164" t="str">
        <v>Z</v>
      </c>
      <c r="N9" s="162"/>
      <c r="O9" t="b">
        <v>1</v>
      </c>
      <c r="Q9" s="164" t="str">
        <v>X</v>
      </c>
      <c r="R9" s="162"/>
      <c r="S9" t="b">
        <v>0</v>
      </c>
    </row>
    <row r="10" spans="1:19" x14ac:dyDescent="0.3">
      <c r="D10" s="125" t="s">
        <v>10</v>
      </c>
      <c r="E10" s="161" t="str">
        <v>Sepsis Rate</v>
      </c>
      <c r="F10" s="162"/>
      <c r="G10" t="b">
        <v>0</v>
      </c>
      <c r="I10" s="163" t="str">
        <v>Sepsis Rate</v>
      </c>
      <c r="J10" s="162"/>
      <c r="K10" t="b">
        <v>0</v>
      </c>
      <c r="M10" s="164" t="str">
        <v>AG</v>
      </c>
      <c r="N10" s="162"/>
      <c r="O10" t="b">
        <v>0</v>
      </c>
      <c r="Q10" s="164" t="str">
        <v>AC</v>
      </c>
      <c r="R10" s="162"/>
      <c r="S10" t="b">
        <v>0</v>
      </c>
    </row>
    <row r="11" spans="1:19" x14ac:dyDescent="0.3">
      <c r="E11" s="161" t="str">
        <v>C-Section 
Rate</v>
      </c>
      <c r="F11" s="162"/>
      <c r="G11" t="b">
        <v>0</v>
      </c>
      <c r="I11" s="163" t="str">
        <v>C-Section 
Rate</v>
      </c>
      <c r="J11" s="162"/>
      <c r="K11" t="b">
        <v>0</v>
      </c>
      <c r="M11" s="164" t="str">
        <v>AI</v>
      </c>
      <c r="N11" s="162"/>
      <c r="O11" t="b">
        <v>0</v>
      </c>
      <c r="Q11" s="164" t="str">
        <v>AE</v>
      </c>
      <c r="R11" s="162"/>
      <c r="S11" t="b">
        <v>0</v>
      </c>
    </row>
    <row r="12" spans="1:19" x14ac:dyDescent="0.3">
      <c r="D12" s="125" t="s">
        <v>10</v>
      </c>
      <c r="E12" s="161" t="str">
        <v>Total Medical Inpatient Days</v>
      </c>
      <c r="F12" s="162"/>
      <c r="G12" t="b">
        <v>0</v>
      </c>
      <c r="I12" s="163" t="str">
        <v>Total Medical Inpatient Days</v>
      </c>
      <c r="J12" s="162"/>
      <c r="K12" t="b">
        <v>0</v>
      </c>
      <c r="M12" s="164" t="str">
        <v>G</v>
      </c>
      <c r="N12" s="162"/>
      <c r="O12" t="b">
        <v>0</v>
      </c>
      <c r="Q12" s="164" t="str">
        <v>I</v>
      </c>
      <c r="R12" s="162"/>
      <c r="S12" t="b">
        <v>0</v>
      </c>
    </row>
    <row r="13" spans="1:19" x14ac:dyDescent="0.3">
      <c r="D13" s="125" t="s">
        <v>10</v>
      </c>
      <c r="E13" s="161" t="str">
        <v>Medical 
ALC Days</v>
      </c>
      <c r="F13" s="162"/>
      <c r="G13" t="b">
        <v>0</v>
      </c>
      <c r="I13" s="163" t="str">
        <v>Medical 
ALC Days</v>
      </c>
      <c r="J13" s="162"/>
      <c r="K13" t="b">
        <v>0</v>
      </c>
      <c r="M13" s="164" t="str">
        <v>K</v>
      </c>
      <c r="N13" s="162"/>
      <c r="O13" t="b">
        <v>0</v>
      </c>
      <c r="Q13" s="164" t="str">
        <v>J</v>
      </c>
      <c r="R13" s="162"/>
      <c r="S13" t="b">
        <v>0</v>
      </c>
    </row>
    <row r="14" spans="1:19" x14ac:dyDescent="0.3">
      <c r="D14" s="125" t="s">
        <v>10</v>
      </c>
      <c r="E14" s="161" t="str">
        <v>Total Surgical Inpatient Days</v>
      </c>
      <c r="F14" s="162"/>
      <c r="G14" t="b">
        <v>0</v>
      </c>
      <c r="I14" s="163" t="str">
        <v>Total Surgical Inpatient Days</v>
      </c>
      <c r="J14" s="162"/>
      <c r="K14" t="b">
        <v>0</v>
      </c>
      <c r="M14" s="164" t="str">
        <v>S</v>
      </c>
      <c r="N14" s="162"/>
      <c r="O14" t="b">
        <v>0</v>
      </c>
      <c r="Q14" s="164" t="str">
        <v>AA</v>
      </c>
      <c r="R14" s="162"/>
      <c r="S14" t="b">
        <v>0</v>
      </c>
    </row>
    <row r="15" spans="1:19" x14ac:dyDescent="0.3">
      <c r="D15" s="125" t="s">
        <v>10</v>
      </c>
      <c r="E15" s="161" t="str">
        <v>Surgical ALC Days</v>
      </c>
      <c r="F15" s="162"/>
      <c r="G15" t="b">
        <v>1</v>
      </c>
      <c r="I15" s="163" t="str">
        <v>Surgical ALC Days</v>
      </c>
      <c r="J15" s="162"/>
      <c r="K15" t="b">
        <v>0</v>
      </c>
      <c r="M15" s="164" t="str">
        <v>A</v>
      </c>
      <c r="N15" s="162"/>
      <c r="O15" t="b">
        <v>0</v>
      </c>
      <c r="Q15" s="164" t="str">
        <v>AK</v>
      </c>
      <c r="R15" s="162"/>
      <c r="S15" t="b">
        <v>0</v>
      </c>
    </row>
    <row r="16" spans="1:19" x14ac:dyDescent="0.3">
      <c r="E16" s="161" t="str">
        <v>Total Mental Health Inpatient Days</v>
      </c>
      <c r="F16" s="162"/>
      <c r="G16" t="b">
        <v>0</v>
      </c>
      <c r="I16" s="163" t="str">
        <v>Total Mental Health Inpatient Days</v>
      </c>
      <c r="J16" s="162"/>
      <c r="K16" t="b">
        <v>0</v>
      </c>
      <c r="M16" s="164" t="str">
        <v>AF</v>
      </c>
      <c r="N16" s="162"/>
      <c r="O16" t="b">
        <v>0</v>
      </c>
      <c r="Q16" s="164" t="str">
        <v>B</v>
      </c>
      <c r="R16" s="162"/>
      <c r="S16" t="b">
        <v>0</v>
      </c>
    </row>
    <row r="17" spans="5:19" x14ac:dyDescent="0.3">
      <c r="E17" s="161" t="str">
        <v>Mental Health ALC Days</v>
      </c>
      <c r="F17" s="162"/>
      <c r="G17" t="b">
        <v>0</v>
      </c>
      <c r="I17" s="163" t="str">
        <v>Mental Health ALC Days</v>
      </c>
      <c r="J17" s="162"/>
      <c r="K17" t="b">
        <v>0</v>
      </c>
      <c r="M17" s="164" t="str">
        <v>AH</v>
      </c>
      <c r="N17" s="162"/>
      <c r="O17" t="b">
        <v>0</v>
      </c>
      <c r="Q17" s="164" t="str">
        <v>D</v>
      </c>
      <c r="R17" s="162"/>
      <c r="S17" t="b">
        <v>0</v>
      </c>
    </row>
    <row r="18" spans="5:19" x14ac:dyDescent="0.3">
      <c r="E18" s="161" t="str">
        <v>Hip Fracture Cases</v>
      </c>
      <c r="F18" s="162"/>
      <c r="G18" t="b">
        <v>0</v>
      </c>
      <c r="H18" s="125" t="s">
        <v>10</v>
      </c>
      <c r="I18" s="163" t="str">
        <v>Hip Fracture Cases</v>
      </c>
      <c r="J18" s="162"/>
      <c r="K18" t="b">
        <v>1</v>
      </c>
      <c r="M18" s="164" t="str">
        <v>H</v>
      </c>
      <c r="N18" s="162"/>
      <c r="O18" t="b">
        <v>0</v>
      </c>
      <c r="Q18" s="164" t="str">
        <v>F</v>
      </c>
      <c r="R18" s="162"/>
      <c r="S18" t="b">
        <v>0</v>
      </c>
    </row>
    <row r="19" spans="5:19" x14ac:dyDescent="0.3">
      <c r="E19" s="161" t="str">
        <v>Hip Fracture Cases with Surgery in 24h</v>
      </c>
      <c r="F19" s="162"/>
      <c r="G19" t="b">
        <v>0</v>
      </c>
      <c r="I19" s="163" t="str">
        <v>Hip Fracture Cases with Surgery in 24h</v>
      </c>
      <c r="J19" s="162"/>
      <c r="K19" t="b">
        <v>0</v>
      </c>
      <c r="M19" s="164" t="str">
        <v>P</v>
      </c>
      <c r="N19" s="162"/>
      <c r="O19" t="b">
        <v>0</v>
      </c>
      <c r="Q19" s="165" t="str">
        <v>R</v>
      </c>
      <c r="R19" s="162"/>
      <c r="S19" t="b">
        <v>0</v>
      </c>
    </row>
    <row r="20" spans="5:19" x14ac:dyDescent="0.3">
      <c r="E20" s="161" t="str">
        <v>Median ED Delay (Hours)</v>
      </c>
      <c r="F20" s="162"/>
      <c r="G20" t="b">
        <v>0</v>
      </c>
      <c r="I20" s="163" t="str">
        <v>Median ED Delay (Hours)</v>
      </c>
      <c r="J20" s="162"/>
      <c r="K20" t="b">
        <v>0</v>
      </c>
      <c r="M20" s="164" t="str">
        <v>U</v>
      </c>
      <c r="N20" s="162"/>
      <c r="O20" t="b">
        <v>0</v>
      </c>
      <c r="Q20" s="165" t="str">
        <v>W</v>
      </c>
      <c r="R20" s="162"/>
      <c r="S20" t="b">
        <v>0</v>
      </c>
    </row>
    <row r="21" spans="5:19" x14ac:dyDescent="0.3">
      <c r="E21" s="161" t="str">
        <v>Actual Cases with ED delay &gt;= 2 Hours</v>
      </c>
      <c r="F21" s="162"/>
      <c r="G21" t="b">
        <v>0</v>
      </c>
      <c r="I21" s="163" t="str">
        <v>Actual Cases with ED delay &gt;= 2 Hours</v>
      </c>
      <c r="J21" s="162"/>
      <c r="K21" t="b">
        <v>0</v>
      </c>
      <c r="M21" s="166"/>
      <c r="N21" s="162"/>
      <c r="O21" t="b">
        <v>0</v>
      </c>
      <c r="Q21" s="165" t="str">
        <v>Y</v>
      </c>
      <c r="R21" s="162"/>
      <c r="S21" t="b">
        <v>0</v>
      </c>
    </row>
    <row r="22" spans="5:19" x14ac:dyDescent="0.3">
      <c r="E22" s="161" t="str">
        <v>Actual Cases with ED delay &gt;=4 Hours</v>
      </c>
      <c r="F22" s="162"/>
      <c r="G22" t="b">
        <v>0</v>
      </c>
      <c r="I22" s="163" t="str">
        <v>Actual Cases with ED delay &gt;=4 Hours</v>
      </c>
      <c r="J22" s="162"/>
      <c r="K22" t="b">
        <v>0</v>
      </c>
      <c r="M22" s="166"/>
      <c r="N22" s="162"/>
      <c r="O22" t="b">
        <v>0</v>
      </c>
      <c r="Q22" s="163"/>
      <c r="R22" s="162"/>
      <c r="S22" t="b">
        <v>0</v>
      </c>
    </row>
    <row r="23" spans="5:19" x14ac:dyDescent="0.3">
      <c r="E23" s="161"/>
      <c r="F23" s="162"/>
      <c r="G23" t="b">
        <v>0</v>
      </c>
      <c r="I23" s="163"/>
      <c r="J23" s="162"/>
      <c r="K23" t="b">
        <v>0</v>
      </c>
      <c r="M23" s="166"/>
      <c r="N23" s="162"/>
      <c r="O23" t="b">
        <v>0</v>
      </c>
      <c r="Q23" s="163"/>
      <c r="R23" s="162"/>
      <c r="S23" t="b">
        <v>0</v>
      </c>
    </row>
    <row r="25" spans="5:19" x14ac:dyDescent="0.3">
      <c r="E25" t="s">
        <v>11</v>
      </c>
      <c r="I25" t="s">
        <v>12</v>
      </c>
      <c r="P25" s="208" t="s">
        <v>13</v>
      </c>
      <c r="Q25" s="208"/>
      <c r="R25" s="208"/>
    </row>
    <row r="26" spans="5:19" x14ac:dyDescent="0.3">
      <c r="P26" s="208"/>
      <c r="Q26" s="208"/>
      <c r="R26" s="208"/>
    </row>
    <row r="27" spans="5:19" ht="23.1" customHeight="1" thickBot="1" x14ac:dyDescent="0.35">
      <c r="P27" s="208"/>
      <c r="Q27" s="208"/>
      <c r="R27" s="208"/>
    </row>
    <row r="28" spans="5:19" ht="16.2" thickBot="1" x14ac:dyDescent="0.35">
      <c r="P28" s="63" t="s">
        <v>14</v>
      </c>
      <c r="Q28" s="179" t="s">
        <v>15</v>
      </c>
    </row>
    <row r="29" spans="5:19" x14ac:dyDescent="0.3">
      <c r="P29" s="64" t="s">
        <v>19</v>
      </c>
      <c r="Q29" s="178" t="s">
        <v>17</v>
      </c>
    </row>
    <row r="30" spans="5:19" x14ac:dyDescent="0.3">
      <c r="P30" s="174" t="s">
        <v>18</v>
      </c>
      <c r="Q30" s="175" t="s">
        <v>17</v>
      </c>
    </row>
    <row r="31" spans="5:19" ht="16.2" thickBot="1" x14ac:dyDescent="0.35">
      <c r="P31" s="176" t="s">
        <v>16</v>
      </c>
      <c r="Q31" s="177" t="s">
        <v>17</v>
      </c>
    </row>
  </sheetData>
  <mergeCells count="1">
    <mergeCell ref="P25:R27"/>
  </mergeCells>
  <conditionalFormatting sqref="I3:I23">
    <cfRule type="expression" dxfId="23" priority="60">
      <formula>$G3</formula>
    </cfRule>
  </conditionalFormatting>
  <conditionalFormatting sqref="E3:E23">
    <cfRule type="expression" dxfId="22" priority="59">
      <formula>$K3</formula>
    </cfRule>
  </conditionalFormatting>
  <conditionalFormatting sqref="J3:J23">
    <cfRule type="expression" dxfId="21" priority="57">
      <formula>$G3</formula>
    </cfRule>
  </conditionalFormatting>
  <conditionalFormatting sqref="F3:F23">
    <cfRule type="expression" dxfId="20" priority="58">
      <formula>$K3</formula>
    </cfRule>
  </conditionalFormatting>
  <conditionalFormatting sqref="E3:F23">
    <cfRule type="expression" dxfId="19" priority="61">
      <formula>$G3</formula>
    </cfRule>
  </conditionalFormatting>
  <conditionalFormatting sqref="I3:J23">
    <cfRule type="expression" dxfId="18" priority="62">
      <formula>$K3</formula>
    </cfRule>
  </conditionalFormatting>
  <conditionalFormatting sqref="M21:N23">
    <cfRule type="expression" dxfId="17" priority="56">
      <formula>$O21</formula>
    </cfRule>
  </conditionalFormatting>
  <conditionalFormatting sqref="Q22:R23">
    <cfRule type="expression" dxfId="16" priority="55">
      <formula>$S22</formula>
    </cfRule>
  </conditionalFormatting>
  <conditionalFormatting sqref="B2">
    <cfRule type="expression" dxfId="15" priority="13">
      <formula>$C$2</formula>
    </cfRule>
  </conditionalFormatting>
  <conditionalFormatting sqref="N3:N9">
    <cfRule type="expression" dxfId="14" priority="6">
      <formula>$O3=TRUE</formula>
    </cfRule>
  </conditionalFormatting>
  <conditionalFormatting sqref="N10:N14">
    <cfRule type="expression" dxfId="13" priority="5">
      <formula>$O10=TRUE</formula>
    </cfRule>
  </conditionalFormatting>
  <conditionalFormatting sqref="N15:N20">
    <cfRule type="expression" dxfId="12" priority="4">
      <formula>$O15=TRUE</formula>
    </cfRule>
  </conditionalFormatting>
  <conditionalFormatting sqref="R3:R9">
    <cfRule type="expression" dxfId="11" priority="3">
      <formula>$S3=TRUE</formula>
    </cfRule>
  </conditionalFormatting>
  <conditionalFormatting sqref="R10:R13">
    <cfRule type="expression" dxfId="10" priority="2">
      <formula>$S10=TRUE</formula>
    </cfRule>
  </conditionalFormatting>
  <conditionalFormatting sqref="R14:R21">
    <cfRule type="expression" dxfId="9" priority="1">
      <formula>$S14=TRUE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heck Box 1">
              <controlPr defaultSize="0" autoFill="0" autoLine="0" autoPict="0">
                <anchor moveWithCells="1">
                  <from>
                    <xdr:col>5</xdr:col>
                    <xdr:colOff>220980</xdr:colOff>
                    <xdr:row>2</xdr:row>
                    <xdr:rowOff>30480</xdr:rowOff>
                  </from>
                  <to>
                    <xdr:col>5</xdr:col>
                    <xdr:colOff>533400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heck Box 2">
              <controlPr defaultSize="0" autoFill="0" autoLine="0" autoPict="0">
                <anchor moveWithCells="1">
                  <from>
                    <xdr:col>5</xdr:col>
                    <xdr:colOff>220980</xdr:colOff>
                    <xdr:row>3</xdr:row>
                    <xdr:rowOff>30480</xdr:rowOff>
                  </from>
                  <to>
                    <xdr:col>5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Check Box 3">
              <controlPr defaultSize="0" autoFill="0" autoLine="0" autoPict="0">
                <anchor moveWithCells="1">
                  <from>
                    <xdr:col>5</xdr:col>
                    <xdr:colOff>220980</xdr:colOff>
                    <xdr:row>4</xdr:row>
                    <xdr:rowOff>30480</xdr:rowOff>
                  </from>
                  <to>
                    <xdr:col>5</xdr:col>
                    <xdr:colOff>533400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>
                <anchor moveWithCells="1">
                  <from>
                    <xdr:col>5</xdr:col>
                    <xdr:colOff>220980</xdr:colOff>
                    <xdr:row>5</xdr:row>
                    <xdr:rowOff>30480</xdr:rowOff>
                  </from>
                  <to>
                    <xdr:col>5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Check Box 5">
              <controlPr defaultSize="0" autoFill="0" autoLine="0" autoPict="0">
                <anchor moveWithCells="1">
                  <from>
                    <xdr:col>5</xdr:col>
                    <xdr:colOff>220980</xdr:colOff>
                    <xdr:row>6</xdr:row>
                    <xdr:rowOff>30480</xdr:rowOff>
                  </from>
                  <to>
                    <xdr:col>5</xdr:col>
                    <xdr:colOff>533400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Check Box 6">
              <controlPr defaultSize="0" autoFill="0" autoLine="0" autoPict="0">
                <anchor moveWithCells="1">
                  <from>
                    <xdr:col>5</xdr:col>
                    <xdr:colOff>220980</xdr:colOff>
                    <xdr:row>7</xdr:row>
                    <xdr:rowOff>30480</xdr:rowOff>
                  </from>
                  <to>
                    <xdr:col>5</xdr:col>
                    <xdr:colOff>533400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Check Box 7">
              <controlPr defaultSize="0" autoFill="0" autoLine="0" autoPict="0">
                <anchor moveWithCells="1">
                  <from>
                    <xdr:col>5</xdr:col>
                    <xdr:colOff>220980</xdr:colOff>
                    <xdr:row>8</xdr:row>
                    <xdr:rowOff>30480</xdr:rowOff>
                  </from>
                  <to>
                    <xdr:col>5</xdr:col>
                    <xdr:colOff>533400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Check Box 8">
              <controlPr defaultSize="0" autoFill="0" autoLine="0" autoPict="0">
                <anchor moveWithCells="1">
                  <from>
                    <xdr:col>5</xdr:col>
                    <xdr:colOff>220980</xdr:colOff>
                    <xdr:row>9</xdr:row>
                    <xdr:rowOff>30480</xdr:rowOff>
                  </from>
                  <to>
                    <xdr:col>5</xdr:col>
                    <xdr:colOff>533400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Check Box 9">
              <controlPr defaultSize="0" autoFill="0" autoLine="0" autoPict="0">
                <anchor moveWithCells="1">
                  <from>
                    <xdr:col>5</xdr:col>
                    <xdr:colOff>220980</xdr:colOff>
                    <xdr:row>10</xdr:row>
                    <xdr:rowOff>30480</xdr:rowOff>
                  </from>
                  <to>
                    <xdr:col>5</xdr:col>
                    <xdr:colOff>533400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Check Box 10">
              <controlPr defaultSize="0" autoFill="0" autoLine="0" autoPict="0">
                <anchor moveWithCells="1">
                  <from>
                    <xdr:col>5</xdr:col>
                    <xdr:colOff>220980</xdr:colOff>
                    <xdr:row>11</xdr:row>
                    <xdr:rowOff>30480</xdr:rowOff>
                  </from>
                  <to>
                    <xdr:col>5</xdr:col>
                    <xdr:colOff>533400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Check Box 11">
              <controlPr defaultSize="0" autoFill="0" autoLine="0" autoPict="0">
                <anchor moveWithCells="1">
                  <from>
                    <xdr:col>5</xdr:col>
                    <xdr:colOff>220980</xdr:colOff>
                    <xdr:row>12</xdr:row>
                    <xdr:rowOff>30480</xdr:rowOff>
                  </from>
                  <to>
                    <xdr:col>5</xdr:col>
                    <xdr:colOff>533400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Check Box 12">
              <controlPr defaultSize="0" autoFill="0" autoLine="0" autoPict="0">
                <anchor moveWithCells="1">
                  <from>
                    <xdr:col>5</xdr:col>
                    <xdr:colOff>220980</xdr:colOff>
                    <xdr:row>13</xdr:row>
                    <xdr:rowOff>30480</xdr:rowOff>
                  </from>
                  <to>
                    <xdr:col>5</xdr:col>
                    <xdr:colOff>533400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Check Box 13">
              <controlPr defaultSize="0" autoFill="0" autoLine="0" autoPict="0">
                <anchor moveWithCells="1">
                  <from>
                    <xdr:col>5</xdr:col>
                    <xdr:colOff>220980</xdr:colOff>
                    <xdr:row>14</xdr:row>
                    <xdr:rowOff>30480</xdr:rowOff>
                  </from>
                  <to>
                    <xdr:col>5</xdr:col>
                    <xdr:colOff>533400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Check Box 14">
              <controlPr defaultSize="0" autoFill="0" autoLine="0" autoPict="0">
                <anchor moveWithCells="1">
                  <from>
                    <xdr:col>5</xdr:col>
                    <xdr:colOff>220980</xdr:colOff>
                    <xdr:row>15</xdr:row>
                    <xdr:rowOff>30480</xdr:rowOff>
                  </from>
                  <to>
                    <xdr:col>5</xdr:col>
                    <xdr:colOff>533400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Check Box 15">
              <controlPr defaultSize="0" autoFill="0" autoLine="0" autoPict="0">
                <anchor moveWithCells="1">
                  <from>
                    <xdr:col>5</xdr:col>
                    <xdr:colOff>220980</xdr:colOff>
                    <xdr:row>16</xdr:row>
                    <xdr:rowOff>30480</xdr:rowOff>
                  </from>
                  <to>
                    <xdr:col>5</xdr:col>
                    <xdr:colOff>533400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Check Box 16">
              <controlPr defaultSize="0" autoFill="0" autoLine="0" autoPict="0">
                <anchor moveWithCells="1">
                  <from>
                    <xdr:col>5</xdr:col>
                    <xdr:colOff>220980</xdr:colOff>
                    <xdr:row>17</xdr:row>
                    <xdr:rowOff>30480</xdr:rowOff>
                  </from>
                  <to>
                    <xdr:col>5</xdr:col>
                    <xdr:colOff>533400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Check Box 17">
              <controlPr defaultSize="0" autoFill="0" autoLine="0" autoPict="0">
                <anchor moveWithCells="1">
                  <from>
                    <xdr:col>5</xdr:col>
                    <xdr:colOff>220980</xdr:colOff>
                    <xdr:row>18</xdr:row>
                    <xdr:rowOff>30480</xdr:rowOff>
                  </from>
                  <to>
                    <xdr:col>5</xdr:col>
                    <xdr:colOff>533400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Check Box 18">
              <controlPr defaultSize="0" autoFill="0" autoLine="0" autoPict="0">
                <anchor moveWithCells="1">
                  <from>
                    <xdr:col>5</xdr:col>
                    <xdr:colOff>220980</xdr:colOff>
                    <xdr:row>19</xdr:row>
                    <xdr:rowOff>30480</xdr:rowOff>
                  </from>
                  <to>
                    <xdr:col>5</xdr:col>
                    <xdr:colOff>533400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Check Box 19">
              <controlPr defaultSize="0" autoFill="0" autoLine="0" autoPict="0">
                <anchor moveWithCells="1">
                  <from>
                    <xdr:col>5</xdr:col>
                    <xdr:colOff>220980</xdr:colOff>
                    <xdr:row>20</xdr:row>
                    <xdr:rowOff>30480</xdr:rowOff>
                  </from>
                  <to>
                    <xdr:col>5</xdr:col>
                    <xdr:colOff>533400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Check Box 20">
              <controlPr defaultSize="0" autoFill="0" autoLine="0" autoPict="0">
                <anchor moveWithCells="1">
                  <from>
                    <xdr:col>5</xdr:col>
                    <xdr:colOff>220980</xdr:colOff>
                    <xdr:row>21</xdr:row>
                    <xdr:rowOff>30480</xdr:rowOff>
                  </from>
                  <to>
                    <xdr:col>5</xdr:col>
                    <xdr:colOff>533400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Check Box 21">
              <controlPr defaultSize="0" autoFill="0" autoLine="0" autoPict="0">
                <anchor moveWithCells="1">
                  <from>
                    <xdr:col>5</xdr:col>
                    <xdr:colOff>220980</xdr:colOff>
                    <xdr:row>22</xdr:row>
                    <xdr:rowOff>30480</xdr:rowOff>
                  </from>
                  <to>
                    <xdr:col>5</xdr:col>
                    <xdr:colOff>533400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24" name="Check Box 43">
              <controlPr defaultSize="0" autoFill="0" autoLine="0" autoPict="0">
                <anchor moveWithCells="1">
                  <from>
                    <xdr:col>9</xdr:col>
                    <xdr:colOff>220980</xdr:colOff>
                    <xdr:row>2</xdr:row>
                    <xdr:rowOff>30480</xdr:rowOff>
                  </from>
                  <to>
                    <xdr:col>9</xdr:col>
                    <xdr:colOff>533400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25" name="Check Box 44">
              <controlPr defaultSize="0" autoFill="0" autoLine="0" autoPict="0">
                <anchor moveWithCells="1">
                  <from>
                    <xdr:col>9</xdr:col>
                    <xdr:colOff>220980</xdr:colOff>
                    <xdr:row>3</xdr:row>
                    <xdr:rowOff>30480</xdr:rowOff>
                  </from>
                  <to>
                    <xdr:col>9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26" name="Check Box 45">
              <controlPr defaultSize="0" autoFill="0" autoLine="0" autoPict="0">
                <anchor moveWithCells="1">
                  <from>
                    <xdr:col>9</xdr:col>
                    <xdr:colOff>220980</xdr:colOff>
                    <xdr:row>4</xdr:row>
                    <xdr:rowOff>30480</xdr:rowOff>
                  </from>
                  <to>
                    <xdr:col>9</xdr:col>
                    <xdr:colOff>533400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27" name="Check Box 46">
              <controlPr defaultSize="0" autoFill="0" autoLine="0" autoPict="0">
                <anchor moveWithCells="1">
                  <from>
                    <xdr:col>9</xdr:col>
                    <xdr:colOff>220980</xdr:colOff>
                    <xdr:row>5</xdr:row>
                    <xdr:rowOff>30480</xdr:rowOff>
                  </from>
                  <to>
                    <xdr:col>9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28" name="Check Box 47">
              <controlPr defaultSize="0" autoFill="0" autoLine="0" autoPict="0">
                <anchor moveWithCells="1">
                  <from>
                    <xdr:col>9</xdr:col>
                    <xdr:colOff>220980</xdr:colOff>
                    <xdr:row>6</xdr:row>
                    <xdr:rowOff>30480</xdr:rowOff>
                  </from>
                  <to>
                    <xdr:col>9</xdr:col>
                    <xdr:colOff>533400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29" name="Check Box 48">
              <controlPr defaultSize="0" autoFill="0" autoLine="0" autoPict="0">
                <anchor moveWithCells="1">
                  <from>
                    <xdr:col>9</xdr:col>
                    <xdr:colOff>220980</xdr:colOff>
                    <xdr:row>7</xdr:row>
                    <xdr:rowOff>30480</xdr:rowOff>
                  </from>
                  <to>
                    <xdr:col>9</xdr:col>
                    <xdr:colOff>533400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30" name="Check Box 49">
              <controlPr defaultSize="0" autoFill="0" autoLine="0" autoPict="0">
                <anchor moveWithCells="1">
                  <from>
                    <xdr:col>9</xdr:col>
                    <xdr:colOff>220980</xdr:colOff>
                    <xdr:row>8</xdr:row>
                    <xdr:rowOff>30480</xdr:rowOff>
                  </from>
                  <to>
                    <xdr:col>9</xdr:col>
                    <xdr:colOff>533400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31" name="Check Box 50">
              <controlPr defaultSize="0" autoFill="0" autoLine="0" autoPict="0">
                <anchor moveWithCells="1">
                  <from>
                    <xdr:col>9</xdr:col>
                    <xdr:colOff>220980</xdr:colOff>
                    <xdr:row>9</xdr:row>
                    <xdr:rowOff>30480</xdr:rowOff>
                  </from>
                  <to>
                    <xdr:col>9</xdr:col>
                    <xdr:colOff>533400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32" name="Check Box 51">
              <controlPr defaultSize="0" autoFill="0" autoLine="0" autoPict="0">
                <anchor moveWithCells="1">
                  <from>
                    <xdr:col>9</xdr:col>
                    <xdr:colOff>220980</xdr:colOff>
                    <xdr:row>10</xdr:row>
                    <xdr:rowOff>30480</xdr:rowOff>
                  </from>
                  <to>
                    <xdr:col>9</xdr:col>
                    <xdr:colOff>533400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33" name="Check Box 52">
              <controlPr defaultSize="0" autoFill="0" autoLine="0" autoPict="0">
                <anchor moveWithCells="1">
                  <from>
                    <xdr:col>9</xdr:col>
                    <xdr:colOff>220980</xdr:colOff>
                    <xdr:row>11</xdr:row>
                    <xdr:rowOff>30480</xdr:rowOff>
                  </from>
                  <to>
                    <xdr:col>9</xdr:col>
                    <xdr:colOff>533400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34" name="Check Box 53">
              <controlPr defaultSize="0" autoFill="0" autoLine="0" autoPict="0">
                <anchor moveWithCells="1">
                  <from>
                    <xdr:col>9</xdr:col>
                    <xdr:colOff>220980</xdr:colOff>
                    <xdr:row>12</xdr:row>
                    <xdr:rowOff>30480</xdr:rowOff>
                  </from>
                  <to>
                    <xdr:col>9</xdr:col>
                    <xdr:colOff>533400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35" name="Check Box 54">
              <controlPr defaultSize="0" autoFill="0" autoLine="0" autoPict="0">
                <anchor moveWithCells="1">
                  <from>
                    <xdr:col>9</xdr:col>
                    <xdr:colOff>220980</xdr:colOff>
                    <xdr:row>13</xdr:row>
                    <xdr:rowOff>30480</xdr:rowOff>
                  </from>
                  <to>
                    <xdr:col>9</xdr:col>
                    <xdr:colOff>533400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36" name="Check Box 55">
              <controlPr defaultSize="0" autoFill="0" autoLine="0" autoPict="0">
                <anchor moveWithCells="1">
                  <from>
                    <xdr:col>9</xdr:col>
                    <xdr:colOff>220980</xdr:colOff>
                    <xdr:row>14</xdr:row>
                    <xdr:rowOff>30480</xdr:rowOff>
                  </from>
                  <to>
                    <xdr:col>9</xdr:col>
                    <xdr:colOff>533400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37" name="Check Box 56">
              <controlPr defaultSize="0" autoFill="0" autoLine="0" autoPict="0">
                <anchor moveWithCells="1">
                  <from>
                    <xdr:col>9</xdr:col>
                    <xdr:colOff>220980</xdr:colOff>
                    <xdr:row>15</xdr:row>
                    <xdr:rowOff>30480</xdr:rowOff>
                  </from>
                  <to>
                    <xdr:col>9</xdr:col>
                    <xdr:colOff>533400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38" name="Check Box 57">
              <controlPr defaultSize="0" autoFill="0" autoLine="0" autoPict="0">
                <anchor moveWithCells="1">
                  <from>
                    <xdr:col>9</xdr:col>
                    <xdr:colOff>220980</xdr:colOff>
                    <xdr:row>16</xdr:row>
                    <xdr:rowOff>30480</xdr:rowOff>
                  </from>
                  <to>
                    <xdr:col>9</xdr:col>
                    <xdr:colOff>533400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39" name="Check Box 58">
              <controlPr defaultSize="0" autoFill="0" autoLine="0" autoPict="0">
                <anchor moveWithCells="1">
                  <from>
                    <xdr:col>9</xdr:col>
                    <xdr:colOff>220980</xdr:colOff>
                    <xdr:row>17</xdr:row>
                    <xdr:rowOff>30480</xdr:rowOff>
                  </from>
                  <to>
                    <xdr:col>9</xdr:col>
                    <xdr:colOff>533400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40" name="Check Box 59">
              <controlPr defaultSize="0" autoFill="0" autoLine="0" autoPict="0">
                <anchor moveWithCells="1">
                  <from>
                    <xdr:col>9</xdr:col>
                    <xdr:colOff>220980</xdr:colOff>
                    <xdr:row>18</xdr:row>
                    <xdr:rowOff>30480</xdr:rowOff>
                  </from>
                  <to>
                    <xdr:col>9</xdr:col>
                    <xdr:colOff>533400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41" name="Check Box 60">
              <controlPr defaultSize="0" autoFill="0" autoLine="0" autoPict="0">
                <anchor moveWithCells="1">
                  <from>
                    <xdr:col>9</xdr:col>
                    <xdr:colOff>220980</xdr:colOff>
                    <xdr:row>19</xdr:row>
                    <xdr:rowOff>30480</xdr:rowOff>
                  </from>
                  <to>
                    <xdr:col>9</xdr:col>
                    <xdr:colOff>533400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42" name="Check Box 61">
              <controlPr defaultSize="0" autoFill="0" autoLine="0" autoPict="0">
                <anchor moveWithCells="1">
                  <from>
                    <xdr:col>9</xdr:col>
                    <xdr:colOff>220980</xdr:colOff>
                    <xdr:row>20</xdr:row>
                    <xdr:rowOff>30480</xdr:rowOff>
                  </from>
                  <to>
                    <xdr:col>9</xdr:col>
                    <xdr:colOff>533400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43" name="Check Box 62">
              <controlPr defaultSize="0" autoFill="0" autoLine="0" autoPict="0">
                <anchor moveWithCells="1">
                  <from>
                    <xdr:col>9</xdr:col>
                    <xdr:colOff>220980</xdr:colOff>
                    <xdr:row>21</xdr:row>
                    <xdr:rowOff>30480</xdr:rowOff>
                  </from>
                  <to>
                    <xdr:col>9</xdr:col>
                    <xdr:colOff>533400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44" name="Check Box 63">
              <controlPr defaultSize="0" autoFill="0" autoLine="0" autoPict="0">
                <anchor moveWithCells="1">
                  <from>
                    <xdr:col>9</xdr:col>
                    <xdr:colOff>220980</xdr:colOff>
                    <xdr:row>22</xdr:row>
                    <xdr:rowOff>30480</xdr:rowOff>
                  </from>
                  <to>
                    <xdr:col>9</xdr:col>
                    <xdr:colOff>533400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45" name="Check Box 82">
              <controlPr defaultSize="0" autoFill="0" autoLine="0" autoPict="0">
                <anchor moveWithCells="1">
                  <from>
                    <xdr:col>13</xdr:col>
                    <xdr:colOff>220980</xdr:colOff>
                    <xdr:row>18</xdr:row>
                    <xdr:rowOff>30480</xdr:rowOff>
                  </from>
                  <to>
                    <xdr:col>13</xdr:col>
                    <xdr:colOff>525780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46" name="Check Box 83">
              <controlPr defaultSize="0" autoFill="0" autoLine="0" autoPict="0">
                <anchor moveWithCells="1">
                  <from>
                    <xdr:col>13</xdr:col>
                    <xdr:colOff>220980</xdr:colOff>
                    <xdr:row>19</xdr:row>
                    <xdr:rowOff>30480</xdr:rowOff>
                  </from>
                  <to>
                    <xdr:col>13</xdr:col>
                    <xdr:colOff>525780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47" name="Check Box 84">
              <controlPr defaultSize="0" autoFill="0" autoLine="0" autoPict="0">
                <anchor moveWithCells="1">
                  <from>
                    <xdr:col>13</xdr:col>
                    <xdr:colOff>220980</xdr:colOff>
                    <xdr:row>20</xdr:row>
                    <xdr:rowOff>30480</xdr:rowOff>
                  </from>
                  <to>
                    <xdr:col>13</xdr:col>
                    <xdr:colOff>525780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48" name="Check Box 85">
              <controlPr defaultSize="0" autoFill="0" autoLine="0" autoPict="0">
                <anchor moveWithCells="1">
                  <from>
                    <xdr:col>13</xdr:col>
                    <xdr:colOff>220980</xdr:colOff>
                    <xdr:row>21</xdr:row>
                    <xdr:rowOff>30480</xdr:rowOff>
                  </from>
                  <to>
                    <xdr:col>13</xdr:col>
                    <xdr:colOff>525780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49" name="Check Box 86">
              <controlPr defaultSize="0" autoFill="0" autoLine="0" autoPict="0">
                <anchor moveWithCells="1">
                  <from>
                    <xdr:col>13</xdr:col>
                    <xdr:colOff>220980</xdr:colOff>
                    <xdr:row>22</xdr:row>
                    <xdr:rowOff>30480</xdr:rowOff>
                  </from>
                  <to>
                    <xdr:col>13</xdr:col>
                    <xdr:colOff>525780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50" name="Check Box 66">
              <controlPr defaultSize="0" autoFill="0" autoLine="0" autoPict="0">
                <anchor moveWithCells="1">
                  <from>
                    <xdr:col>13</xdr:col>
                    <xdr:colOff>220980</xdr:colOff>
                    <xdr:row>2</xdr:row>
                    <xdr:rowOff>30480</xdr:rowOff>
                  </from>
                  <to>
                    <xdr:col>13</xdr:col>
                    <xdr:colOff>525780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51" name="Check Box 67">
              <controlPr defaultSize="0" autoFill="0" autoLine="0" autoPict="0">
                <anchor moveWithCells="1">
                  <from>
                    <xdr:col>13</xdr:col>
                    <xdr:colOff>220980</xdr:colOff>
                    <xdr:row>3</xdr:row>
                    <xdr:rowOff>30480</xdr:rowOff>
                  </from>
                  <to>
                    <xdr:col>13</xdr:col>
                    <xdr:colOff>525780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52" name="Check Box 68">
              <controlPr defaultSize="0" autoFill="0" autoLine="0" autoPict="0">
                <anchor moveWithCells="1">
                  <from>
                    <xdr:col>13</xdr:col>
                    <xdr:colOff>220980</xdr:colOff>
                    <xdr:row>4</xdr:row>
                    <xdr:rowOff>30480</xdr:rowOff>
                  </from>
                  <to>
                    <xdr:col>13</xdr:col>
                    <xdr:colOff>525780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53" name="Check Box 69">
              <controlPr defaultSize="0" autoFill="0" autoLine="0" autoPict="0">
                <anchor moveWithCells="1">
                  <from>
                    <xdr:col>13</xdr:col>
                    <xdr:colOff>220980</xdr:colOff>
                    <xdr:row>5</xdr:row>
                    <xdr:rowOff>30480</xdr:rowOff>
                  </from>
                  <to>
                    <xdr:col>13</xdr:col>
                    <xdr:colOff>525780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8" r:id="rId54" name="Check Box 70">
              <controlPr defaultSize="0" autoFill="0" autoLine="0" autoPict="0">
                <anchor moveWithCells="1">
                  <from>
                    <xdr:col>13</xdr:col>
                    <xdr:colOff>220980</xdr:colOff>
                    <xdr:row>6</xdr:row>
                    <xdr:rowOff>30480</xdr:rowOff>
                  </from>
                  <to>
                    <xdr:col>13</xdr:col>
                    <xdr:colOff>525780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55" name="Check Box 71">
              <controlPr defaultSize="0" autoFill="0" autoLine="0" autoPict="0">
                <anchor moveWithCells="1">
                  <from>
                    <xdr:col>13</xdr:col>
                    <xdr:colOff>220980</xdr:colOff>
                    <xdr:row>7</xdr:row>
                    <xdr:rowOff>30480</xdr:rowOff>
                  </from>
                  <to>
                    <xdr:col>13</xdr:col>
                    <xdr:colOff>525780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56" name="Check Box 72">
              <controlPr defaultSize="0" autoFill="0" autoLine="0" autoPict="0">
                <anchor moveWithCells="1">
                  <from>
                    <xdr:col>13</xdr:col>
                    <xdr:colOff>220980</xdr:colOff>
                    <xdr:row>8</xdr:row>
                    <xdr:rowOff>30480</xdr:rowOff>
                  </from>
                  <to>
                    <xdr:col>13</xdr:col>
                    <xdr:colOff>525780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57" name="Check Box 73">
              <controlPr defaultSize="0" autoFill="0" autoLine="0" autoPict="0">
                <anchor moveWithCells="1">
                  <from>
                    <xdr:col>13</xdr:col>
                    <xdr:colOff>220980</xdr:colOff>
                    <xdr:row>9</xdr:row>
                    <xdr:rowOff>30480</xdr:rowOff>
                  </from>
                  <to>
                    <xdr:col>13</xdr:col>
                    <xdr:colOff>525780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58" name="Check Box 74">
              <controlPr defaultSize="0" autoFill="0" autoLine="0" autoPict="0">
                <anchor moveWithCells="1">
                  <from>
                    <xdr:col>13</xdr:col>
                    <xdr:colOff>220980</xdr:colOff>
                    <xdr:row>10</xdr:row>
                    <xdr:rowOff>30480</xdr:rowOff>
                  </from>
                  <to>
                    <xdr:col>13</xdr:col>
                    <xdr:colOff>525780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59" name="Check Box 75">
              <controlPr defaultSize="0" autoFill="0" autoLine="0" autoPict="0">
                <anchor moveWithCells="1">
                  <from>
                    <xdr:col>13</xdr:col>
                    <xdr:colOff>220980</xdr:colOff>
                    <xdr:row>11</xdr:row>
                    <xdr:rowOff>30480</xdr:rowOff>
                  </from>
                  <to>
                    <xdr:col>13</xdr:col>
                    <xdr:colOff>525780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60" name="Check Box 76">
              <controlPr defaultSize="0" autoFill="0" autoLine="0" autoPict="0">
                <anchor moveWithCells="1">
                  <from>
                    <xdr:col>13</xdr:col>
                    <xdr:colOff>220980</xdr:colOff>
                    <xdr:row>12</xdr:row>
                    <xdr:rowOff>30480</xdr:rowOff>
                  </from>
                  <to>
                    <xdr:col>13</xdr:col>
                    <xdr:colOff>525780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61" name="Check Box 77">
              <controlPr defaultSize="0" autoFill="0" autoLine="0" autoPict="0">
                <anchor moveWithCells="1">
                  <from>
                    <xdr:col>13</xdr:col>
                    <xdr:colOff>220980</xdr:colOff>
                    <xdr:row>13</xdr:row>
                    <xdr:rowOff>30480</xdr:rowOff>
                  </from>
                  <to>
                    <xdr:col>13</xdr:col>
                    <xdr:colOff>525780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62" name="Check Box 78">
              <controlPr defaultSize="0" autoFill="0" autoLine="0" autoPict="0">
                <anchor moveWithCells="1">
                  <from>
                    <xdr:col>13</xdr:col>
                    <xdr:colOff>220980</xdr:colOff>
                    <xdr:row>14</xdr:row>
                    <xdr:rowOff>30480</xdr:rowOff>
                  </from>
                  <to>
                    <xdr:col>13</xdr:col>
                    <xdr:colOff>525780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63" name="Check Box 79">
              <controlPr defaultSize="0" autoFill="0" autoLine="0" autoPict="0">
                <anchor moveWithCells="1">
                  <from>
                    <xdr:col>13</xdr:col>
                    <xdr:colOff>220980</xdr:colOff>
                    <xdr:row>15</xdr:row>
                    <xdr:rowOff>30480</xdr:rowOff>
                  </from>
                  <to>
                    <xdr:col>13</xdr:col>
                    <xdr:colOff>525780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64" name="Check Box 80">
              <controlPr defaultSize="0" autoFill="0" autoLine="0" autoPict="0">
                <anchor moveWithCells="1">
                  <from>
                    <xdr:col>13</xdr:col>
                    <xdr:colOff>220980</xdr:colOff>
                    <xdr:row>16</xdr:row>
                    <xdr:rowOff>30480</xdr:rowOff>
                  </from>
                  <to>
                    <xdr:col>13</xdr:col>
                    <xdr:colOff>525780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65" name="Check Box 81">
              <controlPr defaultSize="0" autoFill="0" autoLine="0" autoPict="0">
                <anchor moveWithCells="1">
                  <from>
                    <xdr:col>13</xdr:col>
                    <xdr:colOff>220980</xdr:colOff>
                    <xdr:row>17</xdr:row>
                    <xdr:rowOff>30480</xdr:rowOff>
                  </from>
                  <to>
                    <xdr:col>13</xdr:col>
                    <xdr:colOff>525780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66" name="Check Box 87">
              <controlPr defaultSize="0" autoFill="0" autoLine="0" autoPict="0">
                <anchor moveWithCells="1">
                  <from>
                    <xdr:col>17</xdr:col>
                    <xdr:colOff>220980</xdr:colOff>
                    <xdr:row>2</xdr:row>
                    <xdr:rowOff>30480</xdr:rowOff>
                  </from>
                  <to>
                    <xdr:col>17</xdr:col>
                    <xdr:colOff>525780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67" name="Check Box 88">
              <controlPr defaultSize="0" autoFill="0" autoLine="0" autoPict="0">
                <anchor moveWithCells="1">
                  <from>
                    <xdr:col>17</xdr:col>
                    <xdr:colOff>220980</xdr:colOff>
                    <xdr:row>3</xdr:row>
                    <xdr:rowOff>30480</xdr:rowOff>
                  </from>
                  <to>
                    <xdr:col>17</xdr:col>
                    <xdr:colOff>525780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68" name="Check Box 89">
              <controlPr defaultSize="0" autoFill="0" autoLine="0" autoPict="0">
                <anchor moveWithCells="1">
                  <from>
                    <xdr:col>17</xdr:col>
                    <xdr:colOff>220980</xdr:colOff>
                    <xdr:row>4</xdr:row>
                    <xdr:rowOff>30480</xdr:rowOff>
                  </from>
                  <to>
                    <xdr:col>17</xdr:col>
                    <xdr:colOff>525780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69" name="Check Box 90">
              <controlPr defaultSize="0" autoFill="0" autoLine="0" autoPict="0">
                <anchor moveWithCells="1">
                  <from>
                    <xdr:col>17</xdr:col>
                    <xdr:colOff>220980</xdr:colOff>
                    <xdr:row>5</xdr:row>
                    <xdr:rowOff>30480</xdr:rowOff>
                  </from>
                  <to>
                    <xdr:col>17</xdr:col>
                    <xdr:colOff>525780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70" name="Check Box 91">
              <controlPr defaultSize="0" autoFill="0" autoLine="0" autoPict="0">
                <anchor moveWithCells="1">
                  <from>
                    <xdr:col>17</xdr:col>
                    <xdr:colOff>220980</xdr:colOff>
                    <xdr:row>6</xdr:row>
                    <xdr:rowOff>30480</xdr:rowOff>
                  </from>
                  <to>
                    <xdr:col>17</xdr:col>
                    <xdr:colOff>525780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71" name="Check Box 92">
              <controlPr defaultSize="0" autoFill="0" autoLine="0" autoPict="0">
                <anchor moveWithCells="1">
                  <from>
                    <xdr:col>17</xdr:col>
                    <xdr:colOff>220980</xdr:colOff>
                    <xdr:row>7</xdr:row>
                    <xdr:rowOff>30480</xdr:rowOff>
                  </from>
                  <to>
                    <xdr:col>17</xdr:col>
                    <xdr:colOff>525780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72" name="Check Box 93">
              <controlPr defaultSize="0" autoFill="0" autoLine="0" autoPict="0">
                <anchor moveWithCells="1">
                  <from>
                    <xdr:col>17</xdr:col>
                    <xdr:colOff>220980</xdr:colOff>
                    <xdr:row>8</xdr:row>
                    <xdr:rowOff>30480</xdr:rowOff>
                  </from>
                  <to>
                    <xdr:col>17</xdr:col>
                    <xdr:colOff>525780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73" name="Check Box 94">
              <controlPr defaultSize="0" autoFill="0" autoLine="0" autoPict="0">
                <anchor moveWithCells="1">
                  <from>
                    <xdr:col>17</xdr:col>
                    <xdr:colOff>220980</xdr:colOff>
                    <xdr:row>9</xdr:row>
                    <xdr:rowOff>30480</xdr:rowOff>
                  </from>
                  <to>
                    <xdr:col>17</xdr:col>
                    <xdr:colOff>525780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74" name="Check Box 95">
              <controlPr defaultSize="0" autoFill="0" autoLine="0" autoPict="0">
                <anchor moveWithCells="1">
                  <from>
                    <xdr:col>17</xdr:col>
                    <xdr:colOff>220980</xdr:colOff>
                    <xdr:row>10</xdr:row>
                    <xdr:rowOff>30480</xdr:rowOff>
                  </from>
                  <to>
                    <xdr:col>17</xdr:col>
                    <xdr:colOff>525780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75" name="Check Box 96">
              <controlPr defaultSize="0" autoFill="0" autoLine="0" autoPict="0">
                <anchor moveWithCells="1">
                  <from>
                    <xdr:col>17</xdr:col>
                    <xdr:colOff>220980</xdr:colOff>
                    <xdr:row>11</xdr:row>
                    <xdr:rowOff>30480</xdr:rowOff>
                  </from>
                  <to>
                    <xdr:col>17</xdr:col>
                    <xdr:colOff>525780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76" name="Check Box 97">
              <controlPr defaultSize="0" autoFill="0" autoLine="0" autoPict="0">
                <anchor moveWithCells="1">
                  <from>
                    <xdr:col>17</xdr:col>
                    <xdr:colOff>220980</xdr:colOff>
                    <xdr:row>12</xdr:row>
                    <xdr:rowOff>30480</xdr:rowOff>
                  </from>
                  <to>
                    <xdr:col>17</xdr:col>
                    <xdr:colOff>525780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77" name="Check Box 98">
              <controlPr defaultSize="0" autoFill="0" autoLine="0" autoPict="0">
                <anchor moveWithCells="1">
                  <from>
                    <xdr:col>17</xdr:col>
                    <xdr:colOff>220980</xdr:colOff>
                    <xdr:row>13</xdr:row>
                    <xdr:rowOff>30480</xdr:rowOff>
                  </from>
                  <to>
                    <xdr:col>17</xdr:col>
                    <xdr:colOff>525780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78" name="Check Box 99">
              <controlPr defaultSize="0" autoFill="0" autoLine="0" autoPict="0">
                <anchor moveWithCells="1">
                  <from>
                    <xdr:col>17</xdr:col>
                    <xdr:colOff>220980</xdr:colOff>
                    <xdr:row>14</xdr:row>
                    <xdr:rowOff>30480</xdr:rowOff>
                  </from>
                  <to>
                    <xdr:col>17</xdr:col>
                    <xdr:colOff>525780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79" name="Check Box 100">
              <controlPr defaultSize="0" autoFill="0" autoLine="0" autoPict="0">
                <anchor moveWithCells="1">
                  <from>
                    <xdr:col>17</xdr:col>
                    <xdr:colOff>220980</xdr:colOff>
                    <xdr:row>15</xdr:row>
                    <xdr:rowOff>30480</xdr:rowOff>
                  </from>
                  <to>
                    <xdr:col>17</xdr:col>
                    <xdr:colOff>525780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80" name="Check Box 101">
              <controlPr defaultSize="0" autoFill="0" autoLine="0" autoPict="0">
                <anchor moveWithCells="1">
                  <from>
                    <xdr:col>17</xdr:col>
                    <xdr:colOff>220980</xdr:colOff>
                    <xdr:row>16</xdr:row>
                    <xdr:rowOff>30480</xdr:rowOff>
                  </from>
                  <to>
                    <xdr:col>17</xdr:col>
                    <xdr:colOff>525780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81" name="Check Box 102">
              <controlPr defaultSize="0" autoFill="0" autoLine="0" autoPict="0">
                <anchor moveWithCells="1">
                  <from>
                    <xdr:col>17</xdr:col>
                    <xdr:colOff>220980</xdr:colOff>
                    <xdr:row>17</xdr:row>
                    <xdr:rowOff>30480</xdr:rowOff>
                  </from>
                  <to>
                    <xdr:col>17</xdr:col>
                    <xdr:colOff>525780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" r:id="rId82" name="Check Box 103">
              <controlPr defaultSize="0" autoFill="0" autoLine="0" autoPict="0">
                <anchor moveWithCells="1">
                  <from>
                    <xdr:col>17</xdr:col>
                    <xdr:colOff>220980</xdr:colOff>
                    <xdr:row>17</xdr:row>
                    <xdr:rowOff>30480</xdr:rowOff>
                  </from>
                  <to>
                    <xdr:col>17</xdr:col>
                    <xdr:colOff>525780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83" name="Check Box 104">
              <controlPr defaultSize="0" autoFill="0" autoLine="0" autoPict="0">
                <anchor moveWithCells="1">
                  <from>
                    <xdr:col>17</xdr:col>
                    <xdr:colOff>220980</xdr:colOff>
                    <xdr:row>18</xdr:row>
                    <xdr:rowOff>30480</xdr:rowOff>
                  </from>
                  <to>
                    <xdr:col>17</xdr:col>
                    <xdr:colOff>525780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84" name="Check Box 105">
              <controlPr defaultSize="0" autoFill="0" autoLine="0" autoPict="0">
                <anchor moveWithCells="1">
                  <from>
                    <xdr:col>17</xdr:col>
                    <xdr:colOff>220980</xdr:colOff>
                    <xdr:row>18</xdr:row>
                    <xdr:rowOff>30480</xdr:rowOff>
                  </from>
                  <to>
                    <xdr:col>17</xdr:col>
                    <xdr:colOff>525780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85" name="Check Box 106">
              <controlPr defaultSize="0" autoFill="0" autoLine="0" autoPict="0">
                <anchor moveWithCells="1">
                  <from>
                    <xdr:col>17</xdr:col>
                    <xdr:colOff>220980</xdr:colOff>
                    <xdr:row>19</xdr:row>
                    <xdr:rowOff>30480</xdr:rowOff>
                  </from>
                  <to>
                    <xdr:col>17</xdr:col>
                    <xdr:colOff>525780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86" name="Check Box 107">
              <controlPr defaultSize="0" autoFill="0" autoLine="0" autoPict="0">
                <anchor moveWithCells="1">
                  <from>
                    <xdr:col>17</xdr:col>
                    <xdr:colOff>220980</xdr:colOff>
                    <xdr:row>19</xdr:row>
                    <xdr:rowOff>30480</xdr:rowOff>
                  </from>
                  <to>
                    <xdr:col>17</xdr:col>
                    <xdr:colOff>525780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87" name="Check Box 108">
              <controlPr defaultSize="0" autoFill="0" autoLine="0" autoPict="0">
                <anchor moveWithCells="1">
                  <from>
                    <xdr:col>17</xdr:col>
                    <xdr:colOff>220980</xdr:colOff>
                    <xdr:row>19</xdr:row>
                    <xdr:rowOff>30480</xdr:rowOff>
                  </from>
                  <to>
                    <xdr:col>17</xdr:col>
                    <xdr:colOff>525780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88" name="Check Box 109">
              <controlPr defaultSize="0" autoFill="0" autoLine="0" autoPict="0">
                <anchor moveWithCells="1">
                  <from>
                    <xdr:col>17</xdr:col>
                    <xdr:colOff>220980</xdr:colOff>
                    <xdr:row>20</xdr:row>
                    <xdr:rowOff>30480</xdr:rowOff>
                  </from>
                  <to>
                    <xdr:col>17</xdr:col>
                    <xdr:colOff>525780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89" name="Check Box 110">
              <controlPr defaultSize="0" autoFill="0" autoLine="0" autoPict="0">
                <anchor moveWithCells="1">
                  <from>
                    <xdr:col>17</xdr:col>
                    <xdr:colOff>220980</xdr:colOff>
                    <xdr:row>20</xdr:row>
                    <xdr:rowOff>30480</xdr:rowOff>
                  </from>
                  <to>
                    <xdr:col>17</xdr:col>
                    <xdr:colOff>525780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" r:id="rId90" name="Check Box 111">
              <controlPr defaultSize="0" autoFill="0" autoLine="0" autoPict="0">
                <anchor moveWithCells="1">
                  <from>
                    <xdr:col>17</xdr:col>
                    <xdr:colOff>220980</xdr:colOff>
                    <xdr:row>20</xdr:row>
                    <xdr:rowOff>30480</xdr:rowOff>
                  </from>
                  <to>
                    <xdr:col>17</xdr:col>
                    <xdr:colOff>525780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91" name="Check Box 112">
              <controlPr defaultSize="0" autoFill="0" autoLine="0" autoPict="0">
                <anchor moveWithCells="1">
                  <from>
                    <xdr:col>17</xdr:col>
                    <xdr:colOff>220980</xdr:colOff>
                    <xdr:row>21</xdr:row>
                    <xdr:rowOff>30480</xdr:rowOff>
                  </from>
                  <to>
                    <xdr:col>17</xdr:col>
                    <xdr:colOff>525780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92" name="Check Box 113">
              <controlPr defaultSize="0" autoFill="0" autoLine="0" autoPict="0">
                <anchor moveWithCells="1">
                  <from>
                    <xdr:col>17</xdr:col>
                    <xdr:colOff>220980</xdr:colOff>
                    <xdr:row>21</xdr:row>
                    <xdr:rowOff>30480</xdr:rowOff>
                  </from>
                  <to>
                    <xdr:col>17</xdr:col>
                    <xdr:colOff>525780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93" name="Check Box 114">
              <controlPr defaultSize="0" autoFill="0" autoLine="0" autoPict="0">
                <anchor moveWithCells="1">
                  <from>
                    <xdr:col>17</xdr:col>
                    <xdr:colOff>220980</xdr:colOff>
                    <xdr:row>21</xdr:row>
                    <xdr:rowOff>30480</xdr:rowOff>
                  </from>
                  <to>
                    <xdr:col>17</xdr:col>
                    <xdr:colOff>525780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94" name="Check Box 115">
              <controlPr defaultSize="0" autoFill="0" autoLine="0" autoPict="0">
                <anchor moveWithCells="1">
                  <from>
                    <xdr:col>17</xdr:col>
                    <xdr:colOff>220980</xdr:colOff>
                    <xdr:row>22</xdr:row>
                    <xdr:rowOff>30480</xdr:rowOff>
                  </from>
                  <to>
                    <xdr:col>17</xdr:col>
                    <xdr:colOff>525780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95" name="Check Box 116">
              <controlPr defaultSize="0" autoFill="0" autoLine="0" autoPict="0">
                <anchor moveWithCells="1">
                  <from>
                    <xdr:col>17</xdr:col>
                    <xdr:colOff>220980</xdr:colOff>
                    <xdr:row>22</xdr:row>
                    <xdr:rowOff>30480</xdr:rowOff>
                  </from>
                  <to>
                    <xdr:col>17</xdr:col>
                    <xdr:colOff>525780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96" name="Check Box 117">
              <controlPr defaultSize="0" autoFill="0" autoLine="0" autoPict="0" macro="[0]!DeselectCheckboxesForInput">
                <anchor moveWithCells="1">
                  <from>
                    <xdr:col>5</xdr:col>
                    <xdr:colOff>220980</xdr:colOff>
                    <xdr:row>1</xdr:row>
                    <xdr:rowOff>30480</xdr:rowOff>
                  </from>
                  <to>
                    <xdr:col>5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97" name="Check Box 118">
              <controlPr defaultSize="0" autoFill="0" autoLine="0" autoPict="0" macro="[0]!DeselectCheckboxesForOutput">
                <anchor moveWithCells="1">
                  <from>
                    <xdr:col>9</xdr:col>
                    <xdr:colOff>220980</xdr:colOff>
                    <xdr:row>1</xdr:row>
                    <xdr:rowOff>30480</xdr:rowOff>
                  </from>
                  <to>
                    <xdr:col>9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98" name="Check Box 120">
              <controlPr defaultSize="0" autoFill="0" autoLine="0" autoPict="0" macro="[0]!ColumnCheckboxesForTeachingHospitals">
                <anchor moveWithCells="1">
                  <from>
                    <xdr:col>13</xdr:col>
                    <xdr:colOff>220980</xdr:colOff>
                    <xdr:row>1</xdr:row>
                    <xdr:rowOff>30480</xdr:rowOff>
                  </from>
                  <to>
                    <xdr:col>13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" r:id="rId99" name="Check Box 121">
              <controlPr defaultSize="0" autoFill="0" autoLine="0" autoPict="0" macro="[0]!ColumnCheckboxesForNONTeachingHospitals">
                <anchor moveWithCells="1">
                  <from>
                    <xdr:col>17</xdr:col>
                    <xdr:colOff>220980</xdr:colOff>
                    <xdr:row>1</xdr:row>
                    <xdr:rowOff>30480</xdr:rowOff>
                  </from>
                  <to>
                    <xdr:col>17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100" name="Check Box 125">
              <controlPr defaultSize="0" autoFill="0" autoLine="0" autoPict="0" macro="[0]!CLEARAllCheckboxes" altText="">
                <anchor moveWithCells="1">
                  <from>
                    <xdr:col>1</xdr:col>
                    <xdr:colOff>220980</xdr:colOff>
                    <xdr:row>0</xdr:row>
                    <xdr:rowOff>198120</xdr:rowOff>
                  </from>
                  <to>
                    <xdr:col>1</xdr:col>
                    <xdr:colOff>495300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4" r:id="rId101" name="Button 126">
              <controlPr defaultSize="0" print="0" autoFill="0" autoPict="0" macro="[0]!RunEfficiency">
                <anchor moveWithCells="1" sizeWithCells="1">
                  <from>
                    <xdr:col>8</xdr:col>
                    <xdr:colOff>335280</xdr:colOff>
                    <xdr:row>26</xdr:row>
                    <xdr:rowOff>274320</xdr:rowOff>
                  </from>
                  <to>
                    <xdr:col>8</xdr:col>
                    <xdr:colOff>2362200</xdr:colOff>
                    <xdr:row>31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6D742642-BCD1-4E97-9633-B21398E52BDA}">
            <xm:f>_xlfn.XLOOKUP(Q1,'Hospital Parsing'!$B:$B,'Hospital Parsing'!$F:$F,"",0) = "Small"</xm:f>
            <x14:dxf>
              <fill>
                <patternFill>
                  <bgColor theme="8" tint="0.39994506668294322"/>
                </patternFill>
              </fill>
            </x14:dxf>
          </x14:cfRule>
          <x14:cfRule type="expression" priority="8" id="{6F8A9707-343A-46FA-A1BD-80485D49A8E5}">
            <xm:f>_xlfn.XLOOKUP(Q1,'Hospital Parsing'!$B:$B,'Hospital Parsing'!$F:$F,"",0) = "Medium"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9" id="{1832FA70-57AD-4FF2-96D2-359AC71C9CDF}">
            <xm:f>_xlfn.XLOOKUP(Q1,'Hospital Parsing'!$B:$B,'Hospital Parsing'!$F:$F,"",0) = "Large"</xm:f>
            <x14:dxf>
              <fill>
                <patternFill>
                  <bgColor theme="9" tint="0.39994506668294322"/>
                </patternFill>
              </fill>
            </x14:dxf>
          </x14:cfRule>
          <xm:sqref>Q33:Q1048576 Q1:Q31</xm:sqref>
        </x14:conditionalFormatting>
        <x14:conditionalFormatting xmlns:xm="http://schemas.microsoft.com/office/excel/2006/main">
          <x14:cfRule type="expression" priority="11" id="{534B7820-8C1A-4784-BDF4-344905454ABC}">
            <xm:f>_xlfn.XLOOKUP(M1,'Hospital Parsing'!$B:$B,'Hospital Parsing'!$F:$F,"",0) = "Medium"</xm:f>
            <x14:dxf>
              <fill>
                <patternFill>
                  <bgColor theme="7" tint="0.39994506668294322"/>
                </patternFill>
              </fill>
            </x14:dxf>
          </x14:cfRule>
          <xm:sqref>M1:N1048576</xm:sqref>
        </x14:conditionalFormatting>
        <x14:conditionalFormatting xmlns:xm="http://schemas.microsoft.com/office/excel/2006/main">
          <x14:cfRule type="expression" priority="10" id="{B78F3044-AFF6-43C4-8A79-5AF4F7E8FB30}">
            <xm:f>_xlfn.XLOOKUP(M1,'Hospital Parsing'!$B:$B,'Hospital Parsing'!$F:$F,"",0) = "Small"</xm:f>
            <x14:dxf>
              <fill>
                <patternFill>
                  <bgColor theme="8" tint="0.39994506668294322"/>
                </patternFill>
              </fill>
            </x14:dxf>
          </x14:cfRule>
          <x14:cfRule type="expression" priority="12" id="{2771EFE9-D62C-4D2C-BA2A-EBC414A16F5D}">
            <xm:f>_xlfn.XLOOKUP(M1,'Hospital Parsing'!$B:$B,'Hospital Parsing'!$F:$F,"",0) = "Large"</xm:f>
            <x14:dxf>
              <fill>
                <patternFill>
                  <bgColor theme="9" tint="0.39994506668294322"/>
                </patternFill>
              </fill>
            </x14:dxf>
          </x14:cfRule>
          <xm:sqref>M1:M1048576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3C191-A220-4FA4-9A37-ED92FDD9716A}">
  <sheetPr codeName="Sheet13">
    <tabColor rgb="FFFFFF00"/>
  </sheetPr>
  <dimension ref="A1:H21"/>
  <sheetViews>
    <sheetView zoomScaleNormal="100" workbookViewId="0">
      <selection activeCell="G27" sqref="G27"/>
    </sheetView>
  </sheetViews>
  <sheetFormatPr defaultColWidth="8.8984375" defaultRowHeight="15.6" x14ac:dyDescent="0.3"/>
  <cols>
    <col min="1" max="1" width="15.09765625" bestFit="1" customWidth="1"/>
    <col min="2" max="2" width="11.8984375" style="22" bestFit="1" customWidth="1"/>
    <col min="3" max="3" width="11.3984375" bestFit="1" customWidth="1"/>
    <col min="4" max="4" width="13" style="109" bestFit="1" customWidth="1"/>
    <col min="5" max="5" width="11.3984375" bestFit="1" customWidth="1"/>
    <col min="6" max="6" width="13" style="109" bestFit="1" customWidth="1"/>
    <col min="7" max="7" width="11.3984375" bestFit="1" customWidth="1"/>
    <col min="8" max="8" width="13" style="109" bestFit="1" customWidth="1"/>
    <col min="10" max="10" width="16.09765625" bestFit="1" customWidth="1"/>
    <col min="12" max="12" width="9.8984375" bestFit="1" customWidth="1"/>
    <col min="13" max="13" width="9.8984375" customWidth="1"/>
  </cols>
  <sheetData>
    <row r="1" spans="1:8" x14ac:dyDescent="0.3">
      <c r="A1" s="111" t="str" cm="1">
        <f t="array" ref="A1:B8">_xlfn._xlws.FILTER(Calculations!C3:D99,Calculations!D3:D99&lt;&gt;0)</f>
        <v>Hospitals Chosen</v>
      </c>
      <c r="B1" s="112" t="str">
        <v>Efficiencies</v>
      </c>
      <c r="C1" s="127" t="s">
        <v>23</v>
      </c>
      <c r="D1" s="127" t="s">
        <v>24</v>
      </c>
      <c r="E1" s="128" t="s">
        <v>25</v>
      </c>
      <c r="F1" s="128" t="s">
        <v>24</v>
      </c>
      <c r="G1" s="129" t="s">
        <v>26</v>
      </c>
      <c r="H1" s="140" t="s">
        <v>24</v>
      </c>
    </row>
    <row r="2" spans="1:8" x14ac:dyDescent="0.3">
      <c r="A2" s="113" t="str">
        <v>AB</v>
      </c>
      <c r="B2" s="110">
        <v>0.99999999999999989</v>
      </c>
      <c r="C2" s="115" t="s">
        <v>66</v>
      </c>
      <c r="D2" s="115">
        <v>1</v>
      </c>
      <c r="E2" s="116"/>
      <c r="F2" s="116"/>
      <c r="G2" s="117"/>
      <c r="H2" s="141"/>
    </row>
    <row r="3" spans="1:8" x14ac:dyDescent="0.3">
      <c r="A3" s="113" t="str">
        <v>AJ</v>
      </c>
      <c r="B3" s="110">
        <v>0.81766481474306474</v>
      </c>
      <c r="C3" s="115" t="s">
        <v>84</v>
      </c>
      <c r="D3" s="115">
        <v>0.2033301233465642</v>
      </c>
      <c r="E3" s="116" t="s">
        <v>97</v>
      </c>
      <c r="F3" s="116">
        <v>0.7966698766534358</v>
      </c>
      <c r="G3" s="117"/>
      <c r="H3" s="141"/>
    </row>
    <row r="4" spans="1:8" x14ac:dyDescent="0.3">
      <c r="A4" s="113" t="str">
        <v>E</v>
      </c>
      <c r="B4" s="110">
        <v>0.79897009207919167</v>
      </c>
      <c r="C4" s="115" t="s">
        <v>84</v>
      </c>
      <c r="D4" s="115">
        <v>0.22543753522530158</v>
      </c>
      <c r="E4" s="116" t="s">
        <v>97</v>
      </c>
      <c r="F4" s="116">
        <v>0.77456246477469837</v>
      </c>
      <c r="G4" s="117"/>
      <c r="H4" s="141"/>
    </row>
    <row r="5" spans="1:8" x14ac:dyDescent="0.3">
      <c r="A5" s="113" t="str">
        <v>L</v>
      </c>
      <c r="B5" s="110">
        <v>0.83271075571087128</v>
      </c>
      <c r="C5" s="115" t="s">
        <v>84</v>
      </c>
      <c r="D5" s="115">
        <v>0.6694355275682784</v>
      </c>
      <c r="E5" s="116" t="s">
        <v>97</v>
      </c>
      <c r="F5" s="116">
        <v>0.33056447243172155</v>
      </c>
      <c r="G5" s="117"/>
      <c r="H5" s="141"/>
    </row>
    <row r="6" spans="1:8" x14ac:dyDescent="0.3">
      <c r="A6" s="113" t="str">
        <v>M</v>
      </c>
      <c r="B6" s="110">
        <v>1</v>
      </c>
      <c r="C6" s="115" t="s">
        <v>84</v>
      </c>
      <c r="D6" s="115">
        <v>0.99999999999999989</v>
      </c>
      <c r="E6" s="116"/>
      <c r="F6" s="116"/>
      <c r="G6" s="117"/>
      <c r="H6" s="141"/>
    </row>
    <row r="7" spans="1:8" x14ac:dyDescent="0.3">
      <c r="A7" s="113" t="str">
        <v>Q</v>
      </c>
      <c r="B7" s="110">
        <v>0.93432246573169397</v>
      </c>
      <c r="C7" s="115" t="s">
        <v>66</v>
      </c>
      <c r="D7" s="115">
        <v>0.20589114397472133</v>
      </c>
      <c r="E7" s="116" t="s">
        <v>97</v>
      </c>
      <c r="F7" s="116">
        <v>0.7941088560252787</v>
      </c>
      <c r="G7" s="117"/>
      <c r="H7" s="141"/>
    </row>
    <row r="8" spans="1:8" x14ac:dyDescent="0.3">
      <c r="A8" s="113" t="str">
        <v>Z</v>
      </c>
      <c r="B8" s="110">
        <v>0.99999999999999978</v>
      </c>
      <c r="C8" s="115" t="s">
        <v>97</v>
      </c>
      <c r="D8" s="115">
        <v>1</v>
      </c>
      <c r="E8" s="116"/>
      <c r="F8" s="116"/>
      <c r="G8" s="117"/>
      <c r="H8" s="141"/>
    </row>
    <row r="9" spans="1:8" x14ac:dyDescent="0.3">
      <c r="A9" s="113"/>
      <c r="B9" s="110"/>
      <c r="C9" s="130"/>
      <c r="D9" s="115"/>
      <c r="E9" s="116"/>
      <c r="F9" s="116"/>
      <c r="G9" s="117"/>
      <c r="H9" s="141"/>
    </row>
    <row r="10" spans="1:8" x14ac:dyDescent="0.3">
      <c r="A10" s="113"/>
      <c r="B10" s="110"/>
      <c r="C10" s="130"/>
      <c r="D10" s="136"/>
      <c r="E10" s="131"/>
      <c r="F10" s="138"/>
      <c r="G10" s="132"/>
      <c r="H10" s="142"/>
    </row>
    <row r="11" spans="1:8" x14ac:dyDescent="0.3">
      <c r="A11" s="113"/>
      <c r="B11" s="110"/>
      <c r="C11" s="130"/>
      <c r="D11" s="136"/>
      <c r="E11" s="131"/>
      <c r="F11" s="138"/>
      <c r="G11" s="132"/>
      <c r="H11" s="142"/>
    </row>
    <row r="12" spans="1:8" x14ac:dyDescent="0.3">
      <c r="A12" s="113"/>
      <c r="B12" s="110"/>
      <c r="C12" s="130"/>
      <c r="D12" s="136"/>
      <c r="E12" s="131"/>
      <c r="F12" s="138"/>
      <c r="G12" s="132"/>
      <c r="H12" s="142"/>
    </row>
    <row r="13" spans="1:8" x14ac:dyDescent="0.3">
      <c r="A13" s="113"/>
      <c r="B13" s="110"/>
      <c r="C13" s="130"/>
      <c r="D13" s="136"/>
      <c r="E13" s="131"/>
      <c r="F13" s="138"/>
      <c r="G13" s="132"/>
      <c r="H13" s="142"/>
    </row>
    <row r="14" spans="1:8" x14ac:dyDescent="0.3">
      <c r="A14" s="113"/>
      <c r="B14" s="110"/>
      <c r="C14" s="130"/>
      <c r="D14" s="136"/>
      <c r="E14" s="131"/>
      <c r="F14" s="138"/>
      <c r="G14" s="132"/>
      <c r="H14" s="142"/>
    </row>
    <row r="15" spans="1:8" x14ac:dyDescent="0.3">
      <c r="A15" s="113"/>
      <c r="B15" s="110"/>
      <c r="C15" s="130"/>
      <c r="D15" s="136"/>
      <c r="E15" s="131"/>
      <c r="F15" s="138"/>
      <c r="G15" s="132"/>
      <c r="H15" s="142"/>
    </row>
    <row r="16" spans="1:8" x14ac:dyDescent="0.3">
      <c r="A16" s="113"/>
      <c r="B16" s="110"/>
      <c r="C16" s="130"/>
      <c r="D16" s="136"/>
      <c r="E16" s="131"/>
      <c r="F16" s="138"/>
      <c r="G16" s="132"/>
      <c r="H16" s="142"/>
    </row>
    <row r="17" spans="1:8" x14ac:dyDescent="0.3">
      <c r="A17" s="113"/>
      <c r="B17" s="110"/>
      <c r="C17" s="130"/>
      <c r="D17" s="136"/>
      <c r="E17" s="131"/>
      <c r="F17" s="138"/>
      <c r="G17" s="132"/>
      <c r="H17" s="142"/>
    </row>
    <row r="18" spans="1:8" x14ac:dyDescent="0.3">
      <c r="A18" s="113"/>
      <c r="B18" s="110"/>
      <c r="C18" s="130"/>
      <c r="D18" s="136"/>
      <c r="E18" s="131"/>
      <c r="F18" s="138"/>
      <c r="G18" s="132"/>
      <c r="H18" s="142"/>
    </row>
    <row r="19" spans="1:8" x14ac:dyDescent="0.3">
      <c r="A19" s="113"/>
      <c r="B19" s="110"/>
      <c r="C19" s="130"/>
      <c r="D19" s="136"/>
      <c r="E19" s="131"/>
      <c r="F19" s="138"/>
      <c r="G19" s="132"/>
      <c r="H19" s="142"/>
    </row>
    <row r="20" spans="1:8" ht="16.2" thickBot="1" x14ac:dyDescent="0.35">
      <c r="A20" s="114"/>
      <c r="B20" s="126"/>
      <c r="C20" s="133"/>
      <c r="D20" s="137"/>
      <c r="E20" s="134"/>
      <c r="F20" s="139"/>
      <c r="G20" s="135"/>
      <c r="H20" s="143"/>
    </row>
    <row r="21" spans="1:8" x14ac:dyDescent="0.3">
      <c r="B21"/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Sheet4.PlotData">
                <anchor moveWithCells="1" sizeWithCells="1">
                  <from>
                    <xdr:col>9</xdr:col>
                    <xdr:colOff>7620</xdr:colOff>
                    <xdr:row>0</xdr:row>
                    <xdr:rowOff>30480</xdr:rowOff>
                  </from>
                  <to>
                    <xdr:col>10</xdr:col>
                    <xdr:colOff>297180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3831F-A743-4B67-B95B-61ADEC5017B4}">
  <sheetPr codeName="Sheet14">
    <tabColor rgb="FF92D050"/>
  </sheetPr>
  <dimension ref="A1:W32"/>
  <sheetViews>
    <sheetView zoomScale="85" zoomScaleNormal="85" workbookViewId="0">
      <selection activeCell="E38" sqref="E38"/>
    </sheetView>
  </sheetViews>
  <sheetFormatPr defaultColWidth="8.8984375" defaultRowHeight="15.6" x14ac:dyDescent="0.3"/>
  <cols>
    <col min="1" max="1" width="15.09765625" style="22" bestFit="1" customWidth="1"/>
    <col min="2" max="2" width="11.8984375" style="22" bestFit="1" customWidth="1"/>
    <col min="3" max="3" width="17.59765625" style="22" bestFit="1" customWidth="1"/>
    <col min="4" max="4" width="16.09765625" style="22" bestFit="1" customWidth="1"/>
    <col min="5" max="5" width="18.09765625" style="22" customWidth="1"/>
    <col min="6" max="6" width="14.09765625" style="22" customWidth="1"/>
    <col min="7" max="7" width="14.3984375" style="22" customWidth="1"/>
    <col min="8" max="8" width="15.59765625" style="22" bestFit="1" customWidth="1"/>
    <col min="9" max="23" width="9" style="22"/>
  </cols>
  <sheetData>
    <row r="1" spans="1:23" ht="16.2" thickBot="1" x14ac:dyDescent="0.35">
      <c r="A1" s="210" t="s">
        <v>20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</row>
    <row r="2" spans="1:23" ht="16.2" thickBot="1" x14ac:dyDescent="0.35">
      <c r="A2" s="99" t="str" cm="1">
        <f t="array" ref="A2:B9">_xlfn._xlws.FILTER(Calculations!$C$3:$D$99,Calculations!$D$3:$D$99&lt;&gt;0)</f>
        <v>Hospitals Chosen</v>
      </c>
      <c r="B2" s="99" t="str">
        <v>Efficiencies</v>
      </c>
      <c r="C2" s="99" t="str" cm="1">
        <f t="array" ref="C2:F2">_xlfn._xlws.FILTER(Calculations!H3:Z3,Calculations!H3:Z3&lt;&gt;0)</f>
        <v>Surgical Cases</v>
      </c>
      <c r="D2" s="99" t="str">
        <v>Hip Fracture Cases</v>
      </c>
      <c r="E2" s="99" t="str">
        <v>Cost per Patient-day</v>
      </c>
      <c r="F2" s="99" t="str">
        <v>Surgical ALC Days</v>
      </c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</row>
    <row r="3" spans="1:23" x14ac:dyDescent="0.3">
      <c r="A3" s="97" t="str">
        <v>AB</v>
      </c>
      <c r="B3" s="97">
        <v>0.99999999999999989</v>
      </c>
      <c r="C3" s="101">
        <f>IFERROR(INDEX('ORG-Metrics'!$A$1:$U$38,MATCH($A3,'ORG-Metrics'!$A$1:$A$38,0),MATCH(C$2,'ORG-Metrics'!$1:$1,0)),0)</f>
        <v>14201.23795490936</v>
      </c>
      <c r="D3" s="101">
        <f>IFERROR(INDEX('ORG-Metrics'!$A$1:$U$38,MATCH($A3,'ORG-Metrics'!$A$1:$A$38,0),MATCH(D$2,'ORG-Metrics'!$1:$1,0)),0)</f>
        <v>361.30558307929294</v>
      </c>
      <c r="E3" s="101">
        <f>IFERROR(INDEX('ORG-Metrics'!$A$1:$U$38,MATCH($A3,'ORG-Metrics'!$A$1:$A$38,0),MATCH(E$2,'ORG-Metrics'!$1:$1,0)),0)</f>
        <v>1496.5400104391686</v>
      </c>
      <c r="F3" s="101">
        <f>IFERROR(INDEX('ORG-Metrics'!$A$1:$U$38,MATCH($A3,'ORG-Metrics'!$A$1:$A$38,0),MATCH(F$2,'ORG-Metrics'!$1:$1,0)),0)</f>
        <v>5179.1205589007013</v>
      </c>
      <c r="G3" s="101">
        <f>IFERROR(INDEX('ORG-Metrics'!$A$1:$U$38,MATCH($A3,'ORG-Metrics'!$A$1:$A$38,0),MATCH(G$2,'ORG-Metrics'!$1:$1,0)),0)</f>
        <v>0</v>
      </c>
      <c r="H3" s="101">
        <f>IFERROR(INDEX('ORG-Metrics'!$A$1:$U$38,MATCH($A3,'ORG-Metrics'!$A$1:$A$38,0),MATCH(H$2,'ORG-Metrics'!$1:$1,0)),0)</f>
        <v>0</v>
      </c>
      <c r="I3" s="101">
        <f>IFERROR(INDEX('ORG-Metrics'!$A$1:$U$38,MATCH($A3,'ORG-Metrics'!$A$1:$A$38,0),MATCH(I$2,'ORG-Metrics'!$1:$1,0)),0)</f>
        <v>0</v>
      </c>
      <c r="J3" s="101">
        <f>IFERROR(INDEX('ORG-Metrics'!$A$1:$U$38,MATCH($A3,'ORG-Metrics'!$A$1:$A$38,0),MATCH(J$2,'ORG-Metrics'!$1:$1,0)),0)</f>
        <v>0</v>
      </c>
      <c r="K3" s="101">
        <f>IFERROR(INDEX('ORG-Metrics'!$A$1:$U$38,MATCH($A3,'ORG-Metrics'!$A$1:$A$38,0),MATCH(K$2,'ORG-Metrics'!$1:$1,0)),0)</f>
        <v>0</v>
      </c>
      <c r="L3" s="101">
        <f>IFERROR(INDEX('ORG-Metrics'!$A$1:$U$38,MATCH($A3,'ORG-Metrics'!$A$1:$A$38,0),MATCH(L$2,'ORG-Metrics'!$1:$1,0)),0)</f>
        <v>0</v>
      </c>
      <c r="M3" s="101">
        <f>IFERROR(INDEX('ORG-Metrics'!$A$1:$U$38,MATCH($A3,'ORG-Metrics'!$A$1:$A$38,0),MATCH(M$2,'ORG-Metrics'!$1:$1,0)),0)</f>
        <v>0</v>
      </c>
      <c r="N3" s="101">
        <f>IFERROR(INDEX('ORG-Metrics'!$A$1:$U$38,MATCH($A3,'ORG-Metrics'!$A$1:$A$38,0),MATCH(N$2,'ORG-Metrics'!$1:$1,0)),0)</f>
        <v>0</v>
      </c>
      <c r="O3" s="101">
        <f>IFERROR(INDEX('ORG-Metrics'!$A$1:$U$38,MATCH($A3,'ORG-Metrics'!$A$1:$A$38,0),MATCH(O$2,'ORG-Metrics'!$1:$1,0)),0)</f>
        <v>0</v>
      </c>
      <c r="P3" s="101">
        <f>IFERROR(INDEX('ORG-Metrics'!$A$1:$U$38,MATCH($A3,'ORG-Metrics'!$A$1:$A$38,0),MATCH(P$2,'ORG-Metrics'!$1:$1,0)),0)</f>
        <v>0</v>
      </c>
      <c r="Q3" s="101">
        <f>IFERROR(INDEX('ORG-Metrics'!$A$1:$U$38,MATCH($A3,'ORG-Metrics'!$A$1:$A$38,0),MATCH(Q$2,'ORG-Metrics'!$1:$1,0)),0)</f>
        <v>0</v>
      </c>
      <c r="R3" s="101">
        <f>IFERROR(INDEX('ORG-Metrics'!$A$1:$U$38,MATCH($A3,'ORG-Metrics'!$A$1:$A$38,0),MATCH(R$2,'ORG-Metrics'!$1:$1,0)),0)</f>
        <v>0</v>
      </c>
      <c r="S3" s="101">
        <f>IFERROR(INDEX('ORG-Metrics'!$A$1:$U$38,MATCH($A3,'ORG-Metrics'!$A$1:$A$38,0),MATCH(S$2,'ORG-Metrics'!$1:$1,0)),0)</f>
        <v>0</v>
      </c>
      <c r="T3" s="101">
        <f>IFERROR(INDEX('ORG-Metrics'!$A$1:$U$38,MATCH($A3,'ORG-Metrics'!$A$1:$A$38,0),MATCH(T$2,'ORG-Metrics'!$1:$1,0)),0)</f>
        <v>0</v>
      </c>
      <c r="U3" s="101">
        <f>IFERROR(INDEX('ORG-Metrics'!$A$1:$U$38,MATCH($A3,'ORG-Metrics'!$A$1:$A$38,0),MATCH(U$2,'ORG-Metrics'!$1:$1,0)),0)</f>
        <v>0</v>
      </c>
      <c r="V3" s="101">
        <f>IFERROR(INDEX('ORG-Metrics'!$A$1:$U$38,MATCH($A3,'ORG-Metrics'!$A$1:$A$38,0),MATCH(V$2,'ORG-Metrics'!$1:$1,0)),0)</f>
        <v>0</v>
      </c>
      <c r="W3" s="101">
        <f>IFERROR(INDEX('ORG-Metrics'!$A$1:$U$38,MATCH($A3,'ORG-Metrics'!$A$1:$A$38,0),MATCH(W$2,'ORG-Metrics'!$1:$1,0)),0)</f>
        <v>0</v>
      </c>
    </row>
    <row r="4" spans="1:23" x14ac:dyDescent="0.3">
      <c r="A4" s="97" t="str">
        <v>AJ</v>
      </c>
      <c r="B4" s="97">
        <v>0.81766481474306474</v>
      </c>
      <c r="C4" s="101">
        <f>IFERROR(INDEX('ORG-Metrics'!$A$1:$U$38,MATCH($A4,'ORG-Metrics'!$A$1:$A$38,0),MATCH(C$2,'ORG-Metrics'!$1:$1,0)),0)</f>
        <v>13835.013071722193</v>
      </c>
      <c r="D4" s="101">
        <f>IFERROR(INDEX('ORG-Metrics'!$A$1:$U$38,MATCH($A4,'ORG-Metrics'!$A$1:$A$38,0),MATCH(D$2,'ORG-Metrics'!$1:$1,0)),0)</f>
        <v>139.89229656171702</v>
      </c>
      <c r="E4" s="101">
        <f>IFERROR(INDEX('ORG-Metrics'!$A$1:$U$38,MATCH($A4,'ORG-Metrics'!$A$1:$A$38,0),MATCH(E$2,'ORG-Metrics'!$1:$1,0)),0)</f>
        <v>1543.130143001342</v>
      </c>
      <c r="F4" s="101">
        <f>IFERROR(INDEX('ORG-Metrics'!$A$1:$U$38,MATCH($A4,'ORG-Metrics'!$A$1:$A$38,0),MATCH(F$2,'ORG-Metrics'!$1:$1,0)),0)</f>
        <v>12067.07794592716</v>
      </c>
      <c r="G4" s="101">
        <f>IFERROR(INDEX('ORG-Metrics'!$A$1:$U$38,MATCH($A4,'ORG-Metrics'!$A$1:$A$38,0),MATCH(G$2,'ORG-Metrics'!$1:$1,0)),0)</f>
        <v>0</v>
      </c>
      <c r="H4" s="101">
        <f>IFERROR(INDEX('ORG-Metrics'!$A$1:$U$38,MATCH($A4,'ORG-Metrics'!$A$1:$A$38,0),MATCH(H$2,'ORG-Metrics'!$1:$1,0)),0)</f>
        <v>0</v>
      </c>
      <c r="I4" s="101">
        <f>IFERROR(INDEX('ORG-Metrics'!$A$1:$U$38,MATCH($A4,'ORG-Metrics'!$A$1:$A$38,0),MATCH(I$2,'ORG-Metrics'!$1:$1,0)),0)</f>
        <v>0</v>
      </c>
      <c r="J4" s="101">
        <f>IFERROR(INDEX('ORG-Metrics'!$A$1:$U$38,MATCH($A4,'ORG-Metrics'!$A$1:$A$38,0),MATCH(J$2,'ORG-Metrics'!$1:$1,0)),0)</f>
        <v>0</v>
      </c>
      <c r="K4" s="101">
        <f>IFERROR(INDEX('ORG-Metrics'!$A$1:$U$38,MATCH($A4,'ORG-Metrics'!$A$1:$A$38,0),MATCH(K$2,'ORG-Metrics'!$1:$1,0)),0)</f>
        <v>0</v>
      </c>
      <c r="L4" s="101">
        <f>IFERROR(INDEX('ORG-Metrics'!$A$1:$U$38,MATCH($A4,'ORG-Metrics'!$A$1:$A$38,0),MATCH(L$2,'ORG-Metrics'!$1:$1,0)),0)</f>
        <v>0</v>
      </c>
      <c r="M4" s="101">
        <f>IFERROR(INDEX('ORG-Metrics'!$A$1:$U$38,MATCH($A4,'ORG-Metrics'!$A$1:$A$38,0),MATCH(M$2,'ORG-Metrics'!$1:$1,0)),0)</f>
        <v>0</v>
      </c>
      <c r="N4" s="101">
        <f>IFERROR(INDEX('ORG-Metrics'!$A$1:$U$38,MATCH($A4,'ORG-Metrics'!$A$1:$A$38,0),MATCH(N$2,'ORG-Metrics'!$1:$1,0)),0)</f>
        <v>0</v>
      </c>
      <c r="O4" s="101">
        <f>IFERROR(INDEX('ORG-Metrics'!$A$1:$U$38,MATCH($A4,'ORG-Metrics'!$A$1:$A$38,0),MATCH(O$2,'ORG-Metrics'!$1:$1,0)),0)</f>
        <v>0</v>
      </c>
      <c r="P4" s="101">
        <f>IFERROR(INDEX('ORG-Metrics'!$A$1:$U$38,MATCH($A4,'ORG-Metrics'!$A$1:$A$38,0),MATCH(P$2,'ORG-Metrics'!$1:$1,0)),0)</f>
        <v>0</v>
      </c>
      <c r="Q4" s="101">
        <f>IFERROR(INDEX('ORG-Metrics'!$A$1:$U$38,MATCH($A4,'ORG-Metrics'!$A$1:$A$38,0),MATCH(Q$2,'ORG-Metrics'!$1:$1,0)),0)</f>
        <v>0</v>
      </c>
      <c r="R4" s="101">
        <f>IFERROR(INDEX('ORG-Metrics'!$A$1:$U$38,MATCH($A4,'ORG-Metrics'!$A$1:$A$38,0),MATCH(R$2,'ORG-Metrics'!$1:$1,0)),0)</f>
        <v>0</v>
      </c>
      <c r="S4" s="101">
        <f>IFERROR(INDEX('ORG-Metrics'!$A$1:$U$38,MATCH($A4,'ORG-Metrics'!$A$1:$A$38,0),MATCH(S$2,'ORG-Metrics'!$1:$1,0)),0)</f>
        <v>0</v>
      </c>
      <c r="T4" s="101">
        <f>IFERROR(INDEX('ORG-Metrics'!$A$1:$U$38,MATCH($A4,'ORG-Metrics'!$A$1:$A$38,0),MATCH(T$2,'ORG-Metrics'!$1:$1,0)),0)</f>
        <v>0</v>
      </c>
      <c r="U4" s="101">
        <f>IFERROR(INDEX('ORG-Metrics'!$A$1:$U$38,MATCH($A4,'ORG-Metrics'!$A$1:$A$38,0),MATCH(U$2,'ORG-Metrics'!$1:$1,0)),0)</f>
        <v>0</v>
      </c>
      <c r="V4" s="101">
        <f>IFERROR(INDEX('ORG-Metrics'!$A$1:$U$38,MATCH($A4,'ORG-Metrics'!$A$1:$A$38,0),MATCH(V$2,'ORG-Metrics'!$1:$1,0)),0)</f>
        <v>0</v>
      </c>
      <c r="W4" s="101">
        <f>IFERROR(INDEX('ORG-Metrics'!$A$1:$U$38,MATCH($A4,'ORG-Metrics'!$A$1:$A$38,0),MATCH(W$2,'ORG-Metrics'!$1:$1,0)),0)</f>
        <v>0</v>
      </c>
    </row>
    <row r="5" spans="1:23" x14ac:dyDescent="0.3">
      <c r="A5" s="97" t="str">
        <v>E</v>
      </c>
      <c r="B5" s="97">
        <v>0.79897009207919167</v>
      </c>
      <c r="C5" s="101">
        <f>IFERROR(INDEX('ORG-Metrics'!$A$1:$U$38,MATCH($A5,'ORG-Metrics'!$A$1:$A$38,0),MATCH(C$2,'ORG-Metrics'!$1:$1,0)),0)</f>
        <v>13814.692332851082</v>
      </c>
      <c r="D5" s="101">
        <f>IFERROR(INDEX('ORG-Metrics'!$A$1:$U$38,MATCH($A5,'ORG-Metrics'!$A$1:$A$38,0),MATCH(D$2,'ORG-Metrics'!$1:$1,0)),0)</f>
        <v>285.67061572560317</v>
      </c>
      <c r="E5" s="101">
        <f>IFERROR(INDEX('ORG-Metrics'!$A$1:$U$38,MATCH($A5,'ORG-Metrics'!$A$1:$A$38,0),MATCH(E$2,'ORG-Metrics'!$1:$1,0)),0)</f>
        <v>1581.9945153048554</v>
      </c>
      <c r="F5" s="101">
        <f>IFERROR(INDEX('ORG-Metrics'!$A$1:$U$38,MATCH($A5,'ORG-Metrics'!$A$1:$A$38,0),MATCH(F$2,'ORG-Metrics'!$1:$1,0)),0)</f>
        <v>12137.941878113284</v>
      </c>
      <c r="G5" s="101">
        <f>IFERROR(INDEX('ORG-Metrics'!$A$1:$U$38,MATCH($A5,'ORG-Metrics'!$A$1:$A$38,0),MATCH(G$2,'ORG-Metrics'!$1:$1,0)),0)</f>
        <v>0</v>
      </c>
      <c r="H5" s="101">
        <f>IFERROR(INDEX('ORG-Metrics'!$A$1:$U$38,MATCH($A5,'ORG-Metrics'!$A$1:$A$38,0),MATCH(H$2,'ORG-Metrics'!$1:$1,0)),0)</f>
        <v>0</v>
      </c>
      <c r="I5" s="101">
        <f>IFERROR(INDEX('ORG-Metrics'!$A$1:$U$38,MATCH($A5,'ORG-Metrics'!$A$1:$A$38,0),MATCH(I$2,'ORG-Metrics'!$1:$1,0)),0)</f>
        <v>0</v>
      </c>
      <c r="J5" s="101">
        <f>IFERROR(INDEX('ORG-Metrics'!$A$1:$U$38,MATCH($A5,'ORG-Metrics'!$A$1:$A$38,0),MATCH(J$2,'ORG-Metrics'!$1:$1,0)),0)</f>
        <v>0</v>
      </c>
      <c r="K5" s="101">
        <f>IFERROR(INDEX('ORG-Metrics'!$A$1:$U$38,MATCH($A5,'ORG-Metrics'!$A$1:$A$38,0),MATCH(K$2,'ORG-Metrics'!$1:$1,0)),0)</f>
        <v>0</v>
      </c>
      <c r="L5" s="101">
        <f>IFERROR(INDEX('ORG-Metrics'!$A$1:$U$38,MATCH($A5,'ORG-Metrics'!$A$1:$A$38,0),MATCH(L$2,'ORG-Metrics'!$1:$1,0)),0)</f>
        <v>0</v>
      </c>
      <c r="M5" s="101">
        <f>IFERROR(INDEX('ORG-Metrics'!$A$1:$U$38,MATCH($A5,'ORG-Metrics'!$A$1:$A$38,0),MATCH(M$2,'ORG-Metrics'!$1:$1,0)),0)</f>
        <v>0</v>
      </c>
      <c r="N5" s="101">
        <f>IFERROR(INDEX('ORG-Metrics'!$A$1:$U$38,MATCH($A5,'ORG-Metrics'!$A$1:$A$38,0),MATCH(N$2,'ORG-Metrics'!$1:$1,0)),0)</f>
        <v>0</v>
      </c>
      <c r="O5" s="101">
        <f>IFERROR(INDEX('ORG-Metrics'!$A$1:$U$38,MATCH($A5,'ORG-Metrics'!$A$1:$A$38,0),MATCH(O$2,'ORG-Metrics'!$1:$1,0)),0)</f>
        <v>0</v>
      </c>
      <c r="P5" s="101">
        <f>IFERROR(INDEX('ORG-Metrics'!$A$1:$U$38,MATCH($A5,'ORG-Metrics'!$A$1:$A$38,0),MATCH(P$2,'ORG-Metrics'!$1:$1,0)),0)</f>
        <v>0</v>
      </c>
      <c r="Q5" s="101">
        <f>IFERROR(INDEX('ORG-Metrics'!$A$1:$U$38,MATCH($A5,'ORG-Metrics'!$A$1:$A$38,0),MATCH(Q$2,'ORG-Metrics'!$1:$1,0)),0)</f>
        <v>0</v>
      </c>
      <c r="R5" s="101">
        <f>IFERROR(INDEX('ORG-Metrics'!$A$1:$U$38,MATCH($A5,'ORG-Metrics'!$A$1:$A$38,0),MATCH(R$2,'ORG-Metrics'!$1:$1,0)),0)</f>
        <v>0</v>
      </c>
      <c r="S5" s="101">
        <f>IFERROR(INDEX('ORG-Metrics'!$A$1:$U$38,MATCH($A5,'ORG-Metrics'!$A$1:$A$38,0),MATCH(S$2,'ORG-Metrics'!$1:$1,0)),0)</f>
        <v>0</v>
      </c>
      <c r="T5" s="101">
        <f>IFERROR(INDEX('ORG-Metrics'!$A$1:$U$38,MATCH($A5,'ORG-Metrics'!$A$1:$A$38,0),MATCH(T$2,'ORG-Metrics'!$1:$1,0)),0)</f>
        <v>0</v>
      </c>
      <c r="U5" s="101">
        <f>IFERROR(INDEX('ORG-Metrics'!$A$1:$U$38,MATCH($A5,'ORG-Metrics'!$A$1:$A$38,0),MATCH(U$2,'ORG-Metrics'!$1:$1,0)),0)</f>
        <v>0</v>
      </c>
      <c r="V5" s="101">
        <f>IFERROR(INDEX('ORG-Metrics'!$A$1:$U$38,MATCH($A5,'ORG-Metrics'!$A$1:$A$38,0),MATCH(V$2,'ORG-Metrics'!$1:$1,0)),0)</f>
        <v>0</v>
      </c>
      <c r="W5" s="101">
        <f>IFERROR(INDEX('ORG-Metrics'!$A$1:$U$38,MATCH($A5,'ORG-Metrics'!$A$1:$A$38,0),MATCH(W$2,'ORG-Metrics'!$1:$1,0)),0)</f>
        <v>0</v>
      </c>
    </row>
    <row r="6" spans="1:23" x14ac:dyDescent="0.3">
      <c r="A6" s="97" t="str">
        <v>L</v>
      </c>
      <c r="B6" s="97">
        <v>0.83271075571087128</v>
      </c>
      <c r="C6" s="101">
        <f>IFERROR(INDEX('ORG-Metrics'!$A$1:$U$38,MATCH($A6,'ORG-Metrics'!$A$1:$A$38,0),MATCH(C$2,'ORG-Metrics'!$1:$1,0)),0)</f>
        <v>13118.519325623121</v>
      </c>
      <c r="D6" s="101">
        <f>IFERROR(INDEX('ORG-Metrics'!$A$1:$U$38,MATCH($A6,'ORG-Metrics'!$A$1:$A$38,0),MATCH(D$2,'ORG-Metrics'!$1:$1,0)),0)</f>
        <v>221.10540195649486</v>
      </c>
      <c r="E6" s="101">
        <f>IFERROR(INDEX('ORG-Metrics'!$A$1:$U$38,MATCH($A6,'ORG-Metrics'!$A$1:$A$38,0),MATCH(E$2,'ORG-Metrics'!$1:$1,0)),0)</f>
        <v>1538.9578651955876</v>
      </c>
      <c r="F6" s="101">
        <f>IFERROR(INDEX('ORG-Metrics'!$A$1:$U$38,MATCH($A6,'ORG-Metrics'!$A$1:$A$38,0),MATCH(F$2,'ORG-Metrics'!$1:$1,0)),0)</f>
        <v>7343.9317476127017</v>
      </c>
      <c r="G6" s="101">
        <f>IFERROR(INDEX('ORG-Metrics'!$A$1:$U$38,MATCH($A6,'ORG-Metrics'!$A$1:$A$38,0),MATCH(G$2,'ORG-Metrics'!$1:$1,0)),0)</f>
        <v>0</v>
      </c>
      <c r="H6" s="101">
        <f>IFERROR(INDEX('ORG-Metrics'!$A$1:$U$38,MATCH($A6,'ORG-Metrics'!$A$1:$A$38,0),MATCH(H$2,'ORG-Metrics'!$1:$1,0)),0)</f>
        <v>0</v>
      </c>
      <c r="I6" s="101">
        <f>IFERROR(INDEX('ORG-Metrics'!$A$1:$U$38,MATCH($A6,'ORG-Metrics'!$A$1:$A$38,0),MATCH(I$2,'ORG-Metrics'!$1:$1,0)),0)</f>
        <v>0</v>
      </c>
      <c r="J6" s="101">
        <f>IFERROR(INDEX('ORG-Metrics'!$A$1:$U$38,MATCH($A6,'ORG-Metrics'!$A$1:$A$38,0),MATCH(J$2,'ORG-Metrics'!$1:$1,0)),0)</f>
        <v>0</v>
      </c>
      <c r="K6" s="101">
        <f>IFERROR(INDEX('ORG-Metrics'!$A$1:$U$38,MATCH($A6,'ORG-Metrics'!$A$1:$A$38,0),MATCH(K$2,'ORG-Metrics'!$1:$1,0)),0)</f>
        <v>0</v>
      </c>
      <c r="L6" s="101">
        <f>IFERROR(INDEX('ORG-Metrics'!$A$1:$U$38,MATCH($A6,'ORG-Metrics'!$A$1:$A$38,0),MATCH(L$2,'ORG-Metrics'!$1:$1,0)),0)</f>
        <v>0</v>
      </c>
      <c r="M6" s="101">
        <f>IFERROR(INDEX('ORG-Metrics'!$A$1:$U$38,MATCH($A6,'ORG-Metrics'!$A$1:$A$38,0),MATCH(M$2,'ORG-Metrics'!$1:$1,0)),0)</f>
        <v>0</v>
      </c>
      <c r="N6" s="101">
        <f>IFERROR(INDEX('ORG-Metrics'!$A$1:$U$38,MATCH($A6,'ORG-Metrics'!$A$1:$A$38,0),MATCH(N$2,'ORG-Metrics'!$1:$1,0)),0)</f>
        <v>0</v>
      </c>
      <c r="O6" s="101">
        <f>IFERROR(INDEX('ORG-Metrics'!$A$1:$U$38,MATCH($A6,'ORG-Metrics'!$A$1:$A$38,0),MATCH(O$2,'ORG-Metrics'!$1:$1,0)),0)</f>
        <v>0</v>
      </c>
      <c r="P6" s="101">
        <f>IFERROR(INDEX('ORG-Metrics'!$A$1:$U$38,MATCH($A6,'ORG-Metrics'!$A$1:$A$38,0),MATCH(P$2,'ORG-Metrics'!$1:$1,0)),0)</f>
        <v>0</v>
      </c>
      <c r="Q6" s="101">
        <f>IFERROR(INDEX('ORG-Metrics'!$A$1:$U$38,MATCH($A6,'ORG-Metrics'!$A$1:$A$38,0),MATCH(Q$2,'ORG-Metrics'!$1:$1,0)),0)</f>
        <v>0</v>
      </c>
      <c r="R6" s="101">
        <f>IFERROR(INDEX('ORG-Metrics'!$A$1:$U$38,MATCH($A6,'ORG-Metrics'!$A$1:$A$38,0),MATCH(R$2,'ORG-Metrics'!$1:$1,0)),0)</f>
        <v>0</v>
      </c>
      <c r="S6" s="101">
        <f>IFERROR(INDEX('ORG-Metrics'!$A$1:$U$38,MATCH($A6,'ORG-Metrics'!$A$1:$A$38,0),MATCH(S$2,'ORG-Metrics'!$1:$1,0)),0)</f>
        <v>0</v>
      </c>
      <c r="T6" s="101">
        <f>IFERROR(INDEX('ORG-Metrics'!$A$1:$U$38,MATCH($A6,'ORG-Metrics'!$A$1:$A$38,0),MATCH(T$2,'ORG-Metrics'!$1:$1,0)),0)</f>
        <v>0</v>
      </c>
      <c r="U6" s="101">
        <f>IFERROR(INDEX('ORG-Metrics'!$A$1:$U$38,MATCH($A6,'ORG-Metrics'!$A$1:$A$38,0),MATCH(U$2,'ORG-Metrics'!$1:$1,0)),0)</f>
        <v>0</v>
      </c>
      <c r="V6" s="101">
        <f>IFERROR(INDEX('ORG-Metrics'!$A$1:$U$38,MATCH($A6,'ORG-Metrics'!$A$1:$A$38,0),MATCH(V$2,'ORG-Metrics'!$1:$1,0)),0)</f>
        <v>0</v>
      </c>
      <c r="W6" s="101">
        <f>IFERROR(INDEX('ORG-Metrics'!$A$1:$U$38,MATCH($A6,'ORG-Metrics'!$A$1:$A$38,0),MATCH(W$2,'ORG-Metrics'!$1:$1,0)),0)</f>
        <v>0</v>
      </c>
    </row>
    <row r="7" spans="1:23" x14ac:dyDescent="0.3">
      <c r="A7" s="97" t="str">
        <v>M</v>
      </c>
      <c r="B7" s="97">
        <v>1</v>
      </c>
      <c r="C7" s="101">
        <f>IFERROR(INDEX('ORG-Metrics'!$A$1:$U$38,MATCH($A7,'ORG-Metrics'!$A$1:$A$38,0),MATCH(C$2,'ORG-Metrics'!$1:$1,0)),0)</f>
        <v>14996.46722420484</v>
      </c>
      <c r="D7" s="101">
        <f>IFERROR(INDEX('ORG-Metrics'!$A$1:$U$38,MATCH($A7,'ORG-Metrics'!$A$1:$A$38,0),MATCH(D$2,'ORG-Metrics'!$1:$1,0)),0)</f>
        <v>277.66902672687809</v>
      </c>
      <c r="E7" s="101">
        <f>IFERROR(INDEX('ORG-Metrics'!$A$1:$U$38,MATCH($A7,'ORG-Metrics'!$A$1:$A$38,0),MATCH(E$2,'ORG-Metrics'!$1:$1,0)),0)</f>
        <v>1540.0653444097336</v>
      </c>
      <c r="F7" s="101">
        <f>IFERROR(INDEX('ORG-Metrics'!$A$1:$U$38,MATCH($A7,'ORG-Metrics'!$A$1:$A$38,0),MATCH(F$2,'ORG-Metrics'!$1:$1,0)),0)</f>
        <v>4130.4285130653825</v>
      </c>
      <c r="G7" s="101">
        <f>IFERROR(INDEX('ORG-Metrics'!$A$1:$U$38,MATCH($A7,'ORG-Metrics'!$A$1:$A$38,0),MATCH(G$2,'ORG-Metrics'!$1:$1,0)),0)</f>
        <v>0</v>
      </c>
      <c r="H7" s="101">
        <f>IFERROR(INDEX('ORG-Metrics'!$A$1:$U$38,MATCH($A7,'ORG-Metrics'!$A$1:$A$38,0),MATCH(H$2,'ORG-Metrics'!$1:$1,0)),0)</f>
        <v>0</v>
      </c>
      <c r="I7" s="101">
        <f>IFERROR(INDEX('ORG-Metrics'!$A$1:$U$38,MATCH($A7,'ORG-Metrics'!$A$1:$A$38,0),MATCH(I$2,'ORG-Metrics'!$1:$1,0)),0)</f>
        <v>0</v>
      </c>
      <c r="J7" s="101">
        <f>IFERROR(INDEX('ORG-Metrics'!$A$1:$U$38,MATCH($A7,'ORG-Metrics'!$A$1:$A$38,0),MATCH(J$2,'ORG-Metrics'!$1:$1,0)),0)</f>
        <v>0</v>
      </c>
      <c r="K7" s="101">
        <f>IFERROR(INDEX('ORG-Metrics'!$A$1:$U$38,MATCH($A7,'ORG-Metrics'!$A$1:$A$38,0),MATCH(K$2,'ORG-Metrics'!$1:$1,0)),0)</f>
        <v>0</v>
      </c>
      <c r="L7" s="101">
        <f>IFERROR(INDEX('ORG-Metrics'!$A$1:$U$38,MATCH($A7,'ORG-Metrics'!$A$1:$A$38,0),MATCH(L$2,'ORG-Metrics'!$1:$1,0)),0)</f>
        <v>0</v>
      </c>
      <c r="M7" s="101">
        <f>IFERROR(INDEX('ORG-Metrics'!$A$1:$U$38,MATCH($A7,'ORG-Metrics'!$A$1:$A$38,0),MATCH(M$2,'ORG-Metrics'!$1:$1,0)),0)</f>
        <v>0</v>
      </c>
      <c r="N7" s="101">
        <f>IFERROR(INDEX('ORG-Metrics'!$A$1:$U$38,MATCH($A7,'ORG-Metrics'!$A$1:$A$38,0),MATCH(N$2,'ORG-Metrics'!$1:$1,0)),0)</f>
        <v>0</v>
      </c>
      <c r="O7" s="101">
        <f>IFERROR(INDEX('ORG-Metrics'!$A$1:$U$38,MATCH($A7,'ORG-Metrics'!$A$1:$A$38,0),MATCH(O$2,'ORG-Metrics'!$1:$1,0)),0)</f>
        <v>0</v>
      </c>
      <c r="P7" s="101">
        <f>IFERROR(INDEX('ORG-Metrics'!$A$1:$U$38,MATCH($A7,'ORG-Metrics'!$A$1:$A$38,0),MATCH(P$2,'ORG-Metrics'!$1:$1,0)),0)</f>
        <v>0</v>
      </c>
      <c r="Q7" s="101">
        <f>IFERROR(INDEX('ORG-Metrics'!$A$1:$U$38,MATCH($A7,'ORG-Metrics'!$A$1:$A$38,0),MATCH(Q$2,'ORG-Metrics'!$1:$1,0)),0)</f>
        <v>0</v>
      </c>
      <c r="R7" s="101">
        <f>IFERROR(INDEX('ORG-Metrics'!$A$1:$U$38,MATCH($A7,'ORG-Metrics'!$A$1:$A$38,0),MATCH(R$2,'ORG-Metrics'!$1:$1,0)),0)</f>
        <v>0</v>
      </c>
      <c r="S7" s="101">
        <f>IFERROR(INDEX('ORG-Metrics'!$A$1:$U$38,MATCH($A7,'ORG-Metrics'!$A$1:$A$38,0),MATCH(S$2,'ORG-Metrics'!$1:$1,0)),0)</f>
        <v>0</v>
      </c>
      <c r="T7" s="101">
        <f>IFERROR(INDEX('ORG-Metrics'!$A$1:$U$38,MATCH($A7,'ORG-Metrics'!$A$1:$A$38,0),MATCH(T$2,'ORG-Metrics'!$1:$1,0)),0)</f>
        <v>0</v>
      </c>
      <c r="U7" s="101">
        <f>IFERROR(INDEX('ORG-Metrics'!$A$1:$U$38,MATCH($A7,'ORG-Metrics'!$A$1:$A$38,0),MATCH(U$2,'ORG-Metrics'!$1:$1,0)),0)</f>
        <v>0</v>
      </c>
      <c r="V7" s="101">
        <f>IFERROR(INDEX('ORG-Metrics'!$A$1:$U$38,MATCH($A7,'ORG-Metrics'!$A$1:$A$38,0),MATCH(V$2,'ORG-Metrics'!$1:$1,0)),0)</f>
        <v>0</v>
      </c>
      <c r="W7" s="101">
        <f>IFERROR(INDEX('ORG-Metrics'!$A$1:$U$38,MATCH($A7,'ORG-Metrics'!$A$1:$A$38,0),MATCH(W$2,'ORG-Metrics'!$1:$1,0)),0)</f>
        <v>0</v>
      </c>
    </row>
    <row r="8" spans="1:23" x14ac:dyDescent="0.3">
      <c r="A8" s="97" t="str">
        <v>Q</v>
      </c>
      <c r="B8" s="97">
        <v>0.93432246573169397</v>
      </c>
      <c r="C8" s="101">
        <f>IFERROR(INDEX('ORG-Metrics'!$A$1:$U$38,MATCH($A8,'ORG-Metrics'!$A$1:$A$38,0),MATCH(C$2,'ORG-Metrics'!$1:$1,0)),0)</f>
        <v>13691.167650458188</v>
      </c>
      <c r="D8" s="101">
        <f>IFERROR(INDEX('ORG-Metrics'!$A$1:$U$38,MATCH($A8,'ORG-Metrics'!$A$1:$A$38,0),MATCH(D$2,'ORG-Metrics'!$1:$1,0)),0)</f>
        <v>346.13338839179994</v>
      </c>
      <c r="E8" s="101">
        <f>IFERROR(INDEX('ORG-Metrics'!$A$1:$U$38,MATCH($A8,'ORG-Metrics'!$A$1:$A$38,0),MATCH(E$2,'ORG-Metrics'!$1:$1,0)),0)</f>
        <v>1477.0929263948281</v>
      </c>
      <c r="F8" s="101">
        <f>IFERROR(INDEX('ORG-Metrics'!$A$1:$U$38,MATCH($A8,'ORG-Metrics'!$A$1:$A$38,0),MATCH(F$2,'ORG-Metrics'!$1:$1,0)),0)</f>
        <v>11810.666644880419</v>
      </c>
      <c r="G8" s="101">
        <f>IFERROR(INDEX('ORG-Metrics'!$A$1:$U$38,MATCH($A8,'ORG-Metrics'!$A$1:$A$38,0),MATCH(G$2,'ORG-Metrics'!$1:$1,0)),0)</f>
        <v>0</v>
      </c>
      <c r="H8" s="101">
        <f>IFERROR(INDEX('ORG-Metrics'!$A$1:$U$38,MATCH($A8,'ORG-Metrics'!$A$1:$A$38,0),MATCH(H$2,'ORG-Metrics'!$1:$1,0)),0)</f>
        <v>0</v>
      </c>
      <c r="I8" s="101">
        <f>IFERROR(INDEX('ORG-Metrics'!$A$1:$U$38,MATCH($A8,'ORG-Metrics'!$A$1:$A$38,0),MATCH(I$2,'ORG-Metrics'!$1:$1,0)),0)</f>
        <v>0</v>
      </c>
      <c r="J8" s="101">
        <f>IFERROR(INDEX('ORG-Metrics'!$A$1:$U$38,MATCH($A8,'ORG-Metrics'!$A$1:$A$38,0),MATCH(J$2,'ORG-Metrics'!$1:$1,0)),0)</f>
        <v>0</v>
      </c>
      <c r="K8" s="101">
        <f>IFERROR(INDEX('ORG-Metrics'!$A$1:$U$38,MATCH($A8,'ORG-Metrics'!$A$1:$A$38,0),MATCH(K$2,'ORG-Metrics'!$1:$1,0)),0)</f>
        <v>0</v>
      </c>
      <c r="L8" s="101">
        <f>IFERROR(INDEX('ORG-Metrics'!$A$1:$U$38,MATCH($A8,'ORG-Metrics'!$A$1:$A$38,0),MATCH(L$2,'ORG-Metrics'!$1:$1,0)),0)</f>
        <v>0</v>
      </c>
      <c r="M8" s="101">
        <f>IFERROR(INDEX('ORG-Metrics'!$A$1:$U$38,MATCH($A8,'ORG-Metrics'!$A$1:$A$38,0),MATCH(M$2,'ORG-Metrics'!$1:$1,0)),0)</f>
        <v>0</v>
      </c>
      <c r="N8" s="101">
        <f>IFERROR(INDEX('ORG-Metrics'!$A$1:$U$38,MATCH($A8,'ORG-Metrics'!$A$1:$A$38,0),MATCH(N$2,'ORG-Metrics'!$1:$1,0)),0)</f>
        <v>0</v>
      </c>
      <c r="O8" s="101">
        <f>IFERROR(INDEX('ORG-Metrics'!$A$1:$U$38,MATCH($A8,'ORG-Metrics'!$A$1:$A$38,0),MATCH(O$2,'ORG-Metrics'!$1:$1,0)),0)</f>
        <v>0</v>
      </c>
      <c r="P8" s="101">
        <f>IFERROR(INDEX('ORG-Metrics'!$A$1:$U$38,MATCH($A8,'ORG-Metrics'!$A$1:$A$38,0),MATCH(P$2,'ORG-Metrics'!$1:$1,0)),0)</f>
        <v>0</v>
      </c>
      <c r="Q8" s="101">
        <f>IFERROR(INDEX('ORG-Metrics'!$A$1:$U$38,MATCH($A8,'ORG-Metrics'!$A$1:$A$38,0),MATCH(Q$2,'ORG-Metrics'!$1:$1,0)),0)</f>
        <v>0</v>
      </c>
      <c r="R8" s="101">
        <f>IFERROR(INDEX('ORG-Metrics'!$A$1:$U$38,MATCH($A8,'ORG-Metrics'!$A$1:$A$38,0),MATCH(R$2,'ORG-Metrics'!$1:$1,0)),0)</f>
        <v>0</v>
      </c>
      <c r="S8" s="101">
        <f>IFERROR(INDEX('ORG-Metrics'!$A$1:$U$38,MATCH($A8,'ORG-Metrics'!$A$1:$A$38,0),MATCH(S$2,'ORG-Metrics'!$1:$1,0)),0)</f>
        <v>0</v>
      </c>
      <c r="T8" s="101">
        <f>IFERROR(INDEX('ORG-Metrics'!$A$1:$U$38,MATCH($A8,'ORG-Metrics'!$A$1:$A$38,0),MATCH(T$2,'ORG-Metrics'!$1:$1,0)),0)</f>
        <v>0</v>
      </c>
      <c r="U8" s="101">
        <f>IFERROR(INDEX('ORG-Metrics'!$A$1:$U$38,MATCH($A8,'ORG-Metrics'!$A$1:$A$38,0),MATCH(U$2,'ORG-Metrics'!$1:$1,0)),0)</f>
        <v>0</v>
      </c>
      <c r="V8" s="101">
        <f>IFERROR(INDEX('ORG-Metrics'!$A$1:$U$38,MATCH($A8,'ORG-Metrics'!$A$1:$A$38,0),MATCH(V$2,'ORG-Metrics'!$1:$1,0)),0)</f>
        <v>0</v>
      </c>
      <c r="W8" s="101">
        <f>IFERROR(INDEX('ORG-Metrics'!$A$1:$U$38,MATCH($A8,'ORG-Metrics'!$A$1:$A$38,0),MATCH(W$2,'ORG-Metrics'!$1:$1,0)),0)</f>
        <v>0</v>
      </c>
    </row>
    <row r="9" spans="1:23" x14ac:dyDescent="0.3">
      <c r="A9" s="97" t="str">
        <v>Z</v>
      </c>
      <c r="B9" s="97">
        <v>0.99999999999999978</v>
      </c>
      <c r="C9" s="101">
        <f>IFERROR(INDEX('ORG-Metrics'!$A$1:$U$38,MATCH($A9,'ORG-Metrics'!$A$1:$A$38,0),MATCH(C$2,'ORG-Metrics'!$1:$1,0)),0)</f>
        <v>16667.597709999853</v>
      </c>
      <c r="D9" s="101">
        <f>IFERROR(INDEX('ORG-Metrics'!$A$1:$U$38,MATCH($A9,'ORG-Metrics'!$A$1:$A$38,0),MATCH(D$2,'ORG-Metrics'!$1:$1,0)),0)</f>
        <v>373.85537442078197</v>
      </c>
      <c r="E9" s="101">
        <f>IFERROR(INDEX('ORG-Metrics'!$A$1:$U$38,MATCH($A9,'ORG-Metrics'!$A$1:$A$38,0),MATCH(E$2,'ORG-Metrics'!$1:$1,0)),0)</f>
        <v>1476.1021500887864</v>
      </c>
      <c r="F9" s="101">
        <f>IFERROR(INDEX('ORG-Metrics'!$A$1:$U$38,MATCH($A9,'ORG-Metrics'!$A$1:$A$38,0),MATCH(F$2,'ORG-Metrics'!$1:$1,0)),0)</f>
        <v>13562.442801231638</v>
      </c>
      <c r="G9" s="101">
        <f>IFERROR(INDEX('ORG-Metrics'!$A$1:$U$38,MATCH($A9,'ORG-Metrics'!$A$1:$A$38,0),MATCH(G$2,'ORG-Metrics'!$1:$1,0)),0)</f>
        <v>0</v>
      </c>
      <c r="H9" s="101">
        <f>IFERROR(INDEX('ORG-Metrics'!$A$1:$U$38,MATCH($A9,'ORG-Metrics'!$A$1:$A$38,0),MATCH(H$2,'ORG-Metrics'!$1:$1,0)),0)</f>
        <v>0</v>
      </c>
      <c r="I9" s="101">
        <f>IFERROR(INDEX('ORG-Metrics'!$A$1:$U$38,MATCH($A9,'ORG-Metrics'!$A$1:$A$38,0),MATCH(I$2,'ORG-Metrics'!$1:$1,0)),0)</f>
        <v>0</v>
      </c>
      <c r="J9" s="101">
        <f>IFERROR(INDEX('ORG-Metrics'!$A$1:$U$38,MATCH($A9,'ORG-Metrics'!$A$1:$A$38,0),MATCH(J$2,'ORG-Metrics'!$1:$1,0)),0)</f>
        <v>0</v>
      </c>
      <c r="K9" s="101">
        <f>IFERROR(INDEX('ORG-Metrics'!$A$1:$U$38,MATCH($A9,'ORG-Metrics'!$A$1:$A$38,0),MATCH(K$2,'ORG-Metrics'!$1:$1,0)),0)</f>
        <v>0</v>
      </c>
      <c r="L9" s="101">
        <f>IFERROR(INDEX('ORG-Metrics'!$A$1:$U$38,MATCH($A9,'ORG-Metrics'!$A$1:$A$38,0),MATCH(L$2,'ORG-Metrics'!$1:$1,0)),0)</f>
        <v>0</v>
      </c>
      <c r="M9" s="101">
        <f>IFERROR(INDEX('ORG-Metrics'!$A$1:$U$38,MATCH($A9,'ORG-Metrics'!$A$1:$A$38,0),MATCH(M$2,'ORG-Metrics'!$1:$1,0)),0)</f>
        <v>0</v>
      </c>
      <c r="N9" s="101">
        <f>IFERROR(INDEX('ORG-Metrics'!$A$1:$U$38,MATCH($A9,'ORG-Metrics'!$A$1:$A$38,0),MATCH(N$2,'ORG-Metrics'!$1:$1,0)),0)</f>
        <v>0</v>
      </c>
      <c r="O9" s="101">
        <f>IFERROR(INDEX('ORG-Metrics'!$A$1:$U$38,MATCH($A9,'ORG-Metrics'!$A$1:$A$38,0),MATCH(O$2,'ORG-Metrics'!$1:$1,0)),0)</f>
        <v>0</v>
      </c>
      <c r="P9" s="101">
        <f>IFERROR(INDEX('ORG-Metrics'!$A$1:$U$38,MATCH($A9,'ORG-Metrics'!$A$1:$A$38,0),MATCH(P$2,'ORG-Metrics'!$1:$1,0)),0)</f>
        <v>0</v>
      </c>
      <c r="Q9" s="101">
        <f>IFERROR(INDEX('ORG-Metrics'!$A$1:$U$38,MATCH($A9,'ORG-Metrics'!$A$1:$A$38,0),MATCH(Q$2,'ORG-Metrics'!$1:$1,0)),0)</f>
        <v>0</v>
      </c>
      <c r="R9" s="101">
        <f>IFERROR(INDEX('ORG-Metrics'!$A$1:$U$38,MATCH($A9,'ORG-Metrics'!$A$1:$A$38,0),MATCH(R$2,'ORG-Metrics'!$1:$1,0)),0)</f>
        <v>0</v>
      </c>
      <c r="S9" s="101">
        <f>IFERROR(INDEX('ORG-Metrics'!$A$1:$U$38,MATCH($A9,'ORG-Metrics'!$A$1:$A$38,0),MATCH(S$2,'ORG-Metrics'!$1:$1,0)),0)</f>
        <v>0</v>
      </c>
      <c r="T9" s="101">
        <f>IFERROR(INDEX('ORG-Metrics'!$A$1:$U$38,MATCH($A9,'ORG-Metrics'!$A$1:$A$38,0),MATCH(T$2,'ORG-Metrics'!$1:$1,0)),0)</f>
        <v>0</v>
      </c>
      <c r="U9" s="101">
        <f>IFERROR(INDEX('ORG-Metrics'!$A$1:$U$38,MATCH($A9,'ORG-Metrics'!$A$1:$A$38,0),MATCH(U$2,'ORG-Metrics'!$1:$1,0)),0)</f>
        <v>0</v>
      </c>
      <c r="V9" s="101">
        <f>IFERROR(INDEX('ORG-Metrics'!$A$1:$U$38,MATCH($A9,'ORG-Metrics'!$A$1:$A$38,0),MATCH(V$2,'ORG-Metrics'!$1:$1,0)),0)</f>
        <v>0</v>
      </c>
      <c r="W9" s="101">
        <f>IFERROR(INDEX('ORG-Metrics'!$A$1:$U$38,MATCH($A9,'ORG-Metrics'!$A$1:$A$38,0),MATCH(W$2,'ORG-Metrics'!$1:$1,0)),0)</f>
        <v>0</v>
      </c>
    </row>
    <row r="10" spans="1:23" x14ac:dyDescent="0.3">
      <c r="A10" s="97"/>
      <c r="B10" s="97"/>
      <c r="C10" s="101">
        <f>IFERROR(INDEX('ORG-Metrics'!$A$1:$U$38,MATCH($A10,'ORG-Metrics'!$A$1:$A$38,0),MATCH(C$2,'ORG-Metrics'!$1:$1,0)),0)</f>
        <v>0</v>
      </c>
      <c r="D10" s="101">
        <f>IFERROR(INDEX('ORG-Metrics'!$A$1:$U$38,MATCH($A10,'ORG-Metrics'!$A$1:$A$38,0),MATCH(D$2,'ORG-Metrics'!$1:$1,0)),0)</f>
        <v>0</v>
      </c>
      <c r="E10" s="101">
        <f>IFERROR(INDEX('ORG-Metrics'!$A$1:$U$38,MATCH($A10,'ORG-Metrics'!$A$1:$A$38,0),MATCH(E$2,'ORG-Metrics'!$1:$1,0)),0)</f>
        <v>0</v>
      </c>
      <c r="F10" s="101">
        <f>IFERROR(INDEX('ORG-Metrics'!$A$1:$U$38,MATCH($A10,'ORG-Metrics'!$A$1:$A$38,0),MATCH(F$2,'ORG-Metrics'!$1:$1,0)),0)</f>
        <v>0</v>
      </c>
      <c r="G10" s="101">
        <f>IFERROR(INDEX('ORG-Metrics'!$A$1:$U$38,MATCH($A10,'ORG-Metrics'!$A$1:$A$38,0),MATCH(G$2,'ORG-Metrics'!$1:$1,0)),0)</f>
        <v>0</v>
      </c>
      <c r="H10" s="101">
        <f>IFERROR(INDEX('ORG-Metrics'!$A$1:$U$38,MATCH($A10,'ORG-Metrics'!$A$1:$A$38,0),MATCH(H$2,'ORG-Metrics'!$1:$1,0)),0)</f>
        <v>0</v>
      </c>
      <c r="I10" s="101">
        <f>IFERROR(INDEX('ORG-Metrics'!$A$1:$U$38,MATCH($A10,'ORG-Metrics'!$A$1:$A$38,0),MATCH(I$2,'ORG-Metrics'!$1:$1,0)),0)</f>
        <v>0</v>
      </c>
      <c r="J10" s="101">
        <f>IFERROR(INDEX('ORG-Metrics'!$A$1:$U$38,MATCH($A10,'ORG-Metrics'!$A$1:$A$38,0),MATCH(J$2,'ORG-Metrics'!$1:$1,0)),0)</f>
        <v>0</v>
      </c>
      <c r="K10" s="101">
        <f>IFERROR(INDEX('ORG-Metrics'!$A$1:$U$38,MATCH($A10,'ORG-Metrics'!$A$1:$A$38,0),MATCH(K$2,'ORG-Metrics'!$1:$1,0)),0)</f>
        <v>0</v>
      </c>
      <c r="L10" s="101">
        <f>IFERROR(INDEX('ORG-Metrics'!$A$1:$U$38,MATCH($A10,'ORG-Metrics'!$A$1:$A$38,0),MATCH(L$2,'ORG-Metrics'!$1:$1,0)),0)</f>
        <v>0</v>
      </c>
      <c r="M10" s="101">
        <f>IFERROR(INDEX('ORG-Metrics'!$A$1:$U$38,MATCH($A10,'ORG-Metrics'!$A$1:$A$38,0),MATCH(M$2,'ORG-Metrics'!$1:$1,0)),0)</f>
        <v>0</v>
      </c>
      <c r="N10" s="101">
        <f>IFERROR(INDEX('ORG-Metrics'!$A$1:$U$38,MATCH($A10,'ORG-Metrics'!$A$1:$A$38,0),MATCH(N$2,'ORG-Metrics'!$1:$1,0)),0)</f>
        <v>0</v>
      </c>
      <c r="O10" s="101">
        <f>IFERROR(INDEX('ORG-Metrics'!$A$1:$U$38,MATCH($A10,'ORG-Metrics'!$A$1:$A$38,0),MATCH(O$2,'ORG-Metrics'!$1:$1,0)),0)</f>
        <v>0</v>
      </c>
      <c r="P10" s="101">
        <f>IFERROR(INDEX('ORG-Metrics'!$A$1:$U$38,MATCH($A10,'ORG-Metrics'!$A$1:$A$38,0),MATCH(P$2,'ORG-Metrics'!$1:$1,0)),0)</f>
        <v>0</v>
      </c>
      <c r="Q10" s="101">
        <f>IFERROR(INDEX('ORG-Metrics'!$A$1:$U$38,MATCH($A10,'ORG-Metrics'!$A$1:$A$38,0),MATCH(Q$2,'ORG-Metrics'!$1:$1,0)),0)</f>
        <v>0</v>
      </c>
      <c r="R10" s="101">
        <f>IFERROR(INDEX('ORG-Metrics'!$A$1:$U$38,MATCH($A10,'ORG-Metrics'!$A$1:$A$38,0),MATCH(R$2,'ORG-Metrics'!$1:$1,0)),0)</f>
        <v>0</v>
      </c>
      <c r="S10" s="101">
        <f>IFERROR(INDEX('ORG-Metrics'!$A$1:$U$38,MATCH($A10,'ORG-Metrics'!$A$1:$A$38,0),MATCH(S$2,'ORG-Metrics'!$1:$1,0)),0)</f>
        <v>0</v>
      </c>
      <c r="T10" s="101">
        <f>IFERROR(INDEX('ORG-Metrics'!$A$1:$U$38,MATCH($A10,'ORG-Metrics'!$A$1:$A$38,0),MATCH(T$2,'ORG-Metrics'!$1:$1,0)),0)</f>
        <v>0</v>
      </c>
      <c r="U10" s="101">
        <f>IFERROR(INDEX('ORG-Metrics'!$A$1:$U$38,MATCH($A10,'ORG-Metrics'!$A$1:$A$38,0),MATCH(U$2,'ORG-Metrics'!$1:$1,0)),0)</f>
        <v>0</v>
      </c>
      <c r="V10" s="101">
        <f>IFERROR(INDEX('ORG-Metrics'!$A$1:$U$38,MATCH($A10,'ORG-Metrics'!$A$1:$A$38,0),MATCH(V$2,'ORG-Metrics'!$1:$1,0)),0)</f>
        <v>0</v>
      </c>
      <c r="W10" s="101">
        <f>IFERROR(INDEX('ORG-Metrics'!$A$1:$U$38,MATCH($A10,'ORG-Metrics'!$A$1:$A$38,0),MATCH(W$2,'ORG-Metrics'!$1:$1,0)),0)</f>
        <v>0</v>
      </c>
    </row>
    <row r="11" spans="1:23" x14ac:dyDescent="0.3">
      <c r="A11" s="97"/>
      <c r="B11" s="97"/>
      <c r="C11" s="101">
        <f>IFERROR(INDEX('ORG-Metrics'!$A$1:$U$38,MATCH($A11,'ORG-Metrics'!$A$1:$A$38,0),MATCH(C$2,'ORG-Metrics'!$1:$1,0)),0)</f>
        <v>0</v>
      </c>
      <c r="D11" s="101">
        <f>IFERROR(INDEX('ORG-Metrics'!$A$1:$U$38,MATCH($A11,'ORG-Metrics'!$A$1:$A$38,0),MATCH(D$2,'ORG-Metrics'!$1:$1,0)),0)</f>
        <v>0</v>
      </c>
      <c r="E11" s="101">
        <f>IFERROR(INDEX('ORG-Metrics'!$A$1:$U$38,MATCH($A11,'ORG-Metrics'!$A$1:$A$38,0),MATCH(E$2,'ORG-Metrics'!$1:$1,0)),0)</f>
        <v>0</v>
      </c>
      <c r="F11" s="101">
        <f>IFERROR(INDEX('ORG-Metrics'!$A$1:$U$38,MATCH($A11,'ORG-Metrics'!$A$1:$A$38,0),MATCH(F$2,'ORG-Metrics'!$1:$1,0)),0)</f>
        <v>0</v>
      </c>
      <c r="G11" s="101">
        <f>IFERROR(INDEX('ORG-Metrics'!$A$1:$U$38,MATCH($A11,'ORG-Metrics'!$A$1:$A$38,0),MATCH(G$2,'ORG-Metrics'!$1:$1,0)),0)</f>
        <v>0</v>
      </c>
      <c r="H11" s="101">
        <f>IFERROR(INDEX('ORG-Metrics'!$A$1:$U$38,MATCH($A11,'ORG-Metrics'!$A$1:$A$38,0),MATCH(H$2,'ORG-Metrics'!$1:$1,0)),0)</f>
        <v>0</v>
      </c>
      <c r="I11" s="101">
        <f>IFERROR(INDEX('ORG-Metrics'!$A$1:$U$38,MATCH($A11,'ORG-Metrics'!$A$1:$A$38,0),MATCH(I$2,'ORG-Metrics'!$1:$1,0)),0)</f>
        <v>0</v>
      </c>
      <c r="J11" s="101">
        <f>IFERROR(INDEX('ORG-Metrics'!$A$1:$U$38,MATCH($A11,'ORG-Metrics'!$A$1:$A$38,0),MATCH(J$2,'ORG-Metrics'!$1:$1,0)),0)</f>
        <v>0</v>
      </c>
      <c r="K11" s="101">
        <f>IFERROR(INDEX('ORG-Metrics'!$A$1:$U$38,MATCH($A11,'ORG-Metrics'!$A$1:$A$38,0),MATCH(K$2,'ORG-Metrics'!$1:$1,0)),0)</f>
        <v>0</v>
      </c>
      <c r="L11" s="101">
        <f>IFERROR(INDEX('ORG-Metrics'!$A$1:$U$38,MATCH($A11,'ORG-Metrics'!$A$1:$A$38,0),MATCH(L$2,'ORG-Metrics'!$1:$1,0)),0)</f>
        <v>0</v>
      </c>
      <c r="M11" s="101">
        <f>IFERROR(INDEX('ORG-Metrics'!$A$1:$U$38,MATCH($A11,'ORG-Metrics'!$A$1:$A$38,0),MATCH(M$2,'ORG-Metrics'!$1:$1,0)),0)</f>
        <v>0</v>
      </c>
      <c r="N11" s="101">
        <f>IFERROR(INDEX('ORG-Metrics'!$A$1:$U$38,MATCH($A11,'ORG-Metrics'!$A$1:$A$38,0),MATCH(N$2,'ORG-Metrics'!$1:$1,0)),0)</f>
        <v>0</v>
      </c>
      <c r="O11" s="101">
        <f>IFERROR(INDEX('ORG-Metrics'!$A$1:$U$38,MATCH($A11,'ORG-Metrics'!$A$1:$A$38,0),MATCH(O$2,'ORG-Metrics'!$1:$1,0)),0)</f>
        <v>0</v>
      </c>
      <c r="P11" s="101">
        <f>IFERROR(INDEX('ORG-Metrics'!$A$1:$U$38,MATCH($A11,'ORG-Metrics'!$A$1:$A$38,0),MATCH(P$2,'ORG-Metrics'!$1:$1,0)),0)</f>
        <v>0</v>
      </c>
      <c r="Q11" s="101">
        <f>IFERROR(INDEX('ORG-Metrics'!$A$1:$U$38,MATCH($A11,'ORG-Metrics'!$A$1:$A$38,0),MATCH(Q$2,'ORG-Metrics'!$1:$1,0)),0)</f>
        <v>0</v>
      </c>
      <c r="R11" s="101">
        <f>IFERROR(INDEX('ORG-Metrics'!$A$1:$U$38,MATCH($A11,'ORG-Metrics'!$A$1:$A$38,0),MATCH(R$2,'ORG-Metrics'!$1:$1,0)),0)</f>
        <v>0</v>
      </c>
      <c r="S11" s="101">
        <f>IFERROR(INDEX('ORG-Metrics'!$A$1:$U$38,MATCH($A11,'ORG-Metrics'!$A$1:$A$38,0),MATCH(S$2,'ORG-Metrics'!$1:$1,0)),0)</f>
        <v>0</v>
      </c>
      <c r="T11" s="101">
        <f>IFERROR(INDEX('ORG-Metrics'!$A$1:$U$38,MATCH($A11,'ORG-Metrics'!$A$1:$A$38,0),MATCH(T$2,'ORG-Metrics'!$1:$1,0)),0)</f>
        <v>0</v>
      </c>
      <c r="U11" s="101">
        <f>IFERROR(INDEX('ORG-Metrics'!$A$1:$U$38,MATCH($A11,'ORG-Metrics'!$A$1:$A$38,0),MATCH(U$2,'ORG-Metrics'!$1:$1,0)),0)</f>
        <v>0</v>
      </c>
      <c r="V11" s="101">
        <f>IFERROR(INDEX('ORG-Metrics'!$A$1:$U$38,MATCH($A11,'ORG-Metrics'!$A$1:$A$38,0),MATCH(V$2,'ORG-Metrics'!$1:$1,0)),0)</f>
        <v>0</v>
      </c>
      <c r="W11" s="101">
        <f>IFERROR(INDEX('ORG-Metrics'!$A$1:$U$38,MATCH($A11,'ORG-Metrics'!$A$1:$A$38,0),MATCH(W$2,'ORG-Metrics'!$1:$1,0)),0)</f>
        <v>0</v>
      </c>
    </row>
    <row r="12" spans="1:23" x14ac:dyDescent="0.3">
      <c r="A12" s="97"/>
      <c r="B12" s="97"/>
      <c r="C12" s="101">
        <f>IFERROR(INDEX('ORG-Metrics'!$A$1:$U$38,MATCH($A12,'ORG-Metrics'!$A$1:$A$38,0),MATCH(C$2,'ORG-Metrics'!$1:$1,0)),0)</f>
        <v>0</v>
      </c>
      <c r="D12" s="101">
        <f>IFERROR(INDEX('ORG-Metrics'!$A$1:$U$38,MATCH($A12,'ORG-Metrics'!$A$1:$A$38,0),MATCH(D$2,'ORG-Metrics'!$1:$1,0)),0)</f>
        <v>0</v>
      </c>
      <c r="E12" s="101">
        <f>IFERROR(INDEX('ORG-Metrics'!$A$1:$U$38,MATCH($A12,'ORG-Metrics'!$A$1:$A$38,0),MATCH(E$2,'ORG-Metrics'!$1:$1,0)),0)</f>
        <v>0</v>
      </c>
      <c r="F12" s="101">
        <f>IFERROR(INDEX('ORG-Metrics'!$A$1:$U$38,MATCH($A12,'ORG-Metrics'!$A$1:$A$38,0),MATCH(F$2,'ORG-Metrics'!$1:$1,0)),0)</f>
        <v>0</v>
      </c>
      <c r="G12" s="101">
        <f>IFERROR(INDEX('ORG-Metrics'!$A$1:$U$38,MATCH($A12,'ORG-Metrics'!$A$1:$A$38,0),MATCH(G$2,'ORG-Metrics'!$1:$1,0)),0)</f>
        <v>0</v>
      </c>
      <c r="H12" s="101">
        <f>IFERROR(INDEX('ORG-Metrics'!$A$1:$U$38,MATCH($A12,'ORG-Metrics'!$A$1:$A$38,0),MATCH(H$2,'ORG-Metrics'!$1:$1,0)),0)</f>
        <v>0</v>
      </c>
      <c r="I12" s="101">
        <f>IFERROR(INDEX('ORG-Metrics'!$A$1:$U$38,MATCH($A12,'ORG-Metrics'!$A$1:$A$38,0),MATCH(I$2,'ORG-Metrics'!$1:$1,0)),0)</f>
        <v>0</v>
      </c>
      <c r="J12" s="101">
        <f>IFERROR(INDEX('ORG-Metrics'!$A$1:$U$38,MATCH($A12,'ORG-Metrics'!$A$1:$A$38,0),MATCH(J$2,'ORG-Metrics'!$1:$1,0)),0)</f>
        <v>0</v>
      </c>
      <c r="K12" s="101">
        <f>IFERROR(INDEX('ORG-Metrics'!$A$1:$U$38,MATCH($A12,'ORG-Metrics'!$A$1:$A$38,0),MATCH(K$2,'ORG-Metrics'!$1:$1,0)),0)</f>
        <v>0</v>
      </c>
      <c r="L12" s="101">
        <f>IFERROR(INDEX('ORG-Metrics'!$A$1:$U$38,MATCH($A12,'ORG-Metrics'!$A$1:$A$38,0),MATCH(L$2,'ORG-Metrics'!$1:$1,0)),0)</f>
        <v>0</v>
      </c>
      <c r="M12" s="101">
        <f>IFERROR(INDEX('ORG-Metrics'!$A$1:$U$38,MATCH($A12,'ORG-Metrics'!$A$1:$A$38,0),MATCH(M$2,'ORG-Metrics'!$1:$1,0)),0)</f>
        <v>0</v>
      </c>
      <c r="N12" s="101">
        <f>IFERROR(INDEX('ORG-Metrics'!$A$1:$U$38,MATCH($A12,'ORG-Metrics'!$A$1:$A$38,0),MATCH(N$2,'ORG-Metrics'!$1:$1,0)),0)</f>
        <v>0</v>
      </c>
      <c r="O12" s="101">
        <f>IFERROR(INDEX('ORG-Metrics'!$A$1:$U$38,MATCH($A12,'ORG-Metrics'!$A$1:$A$38,0),MATCH(O$2,'ORG-Metrics'!$1:$1,0)),0)</f>
        <v>0</v>
      </c>
      <c r="P12" s="101">
        <f>IFERROR(INDEX('ORG-Metrics'!$A$1:$U$38,MATCH($A12,'ORG-Metrics'!$A$1:$A$38,0),MATCH(P$2,'ORG-Metrics'!$1:$1,0)),0)</f>
        <v>0</v>
      </c>
      <c r="Q12" s="101">
        <f>IFERROR(INDEX('ORG-Metrics'!$A$1:$U$38,MATCH($A12,'ORG-Metrics'!$A$1:$A$38,0),MATCH(Q$2,'ORG-Metrics'!$1:$1,0)),0)</f>
        <v>0</v>
      </c>
      <c r="R12" s="101">
        <f>IFERROR(INDEX('ORG-Metrics'!$A$1:$U$38,MATCH($A12,'ORG-Metrics'!$A$1:$A$38,0),MATCH(R$2,'ORG-Metrics'!$1:$1,0)),0)</f>
        <v>0</v>
      </c>
      <c r="S12" s="101">
        <f>IFERROR(INDEX('ORG-Metrics'!$A$1:$U$38,MATCH($A12,'ORG-Metrics'!$A$1:$A$38,0),MATCH(S$2,'ORG-Metrics'!$1:$1,0)),0)</f>
        <v>0</v>
      </c>
      <c r="T12" s="101">
        <f>IFERROR(INDEX('ORG-Metrics'!$A$1:$U$38,MATCH($A12,'ORG-Metrics'!$A$1:$A$38,0),MATCH(T$2,'ORG-Metrics'!$1:$1,0)),0)</f>
        <v>0</v>
      </c>
      <c r="U12" s="101">
        <f>IFERROR(INDEX('ORG-Metrics'!$A$1:$U$38,MATCH($A12,'ORG-Metrics'!$A$1:$A$38,0),MATCH(U$2,'ORG-Metrics'!$1:$1,0)),0)</f>
        <v>0</v>
      </c>
      <c r="V12" s="101">
        <f>IFERROR(INDEX('ORG-Metrics'!$A$1:$U$38,MATCH($A12,'ORG-Metrics'!$A$1:$A$38,0),MATCH(V$2,'ORG-Metrics'!$1:$1,0)),0)</f>
        <v>0</v>
      </c>
      <c r="W12" s="101">
        <f>IFERROR(INDEX('ORG-Metrics'!$A$1:$U$38,MATCH($A12,'ORG-Metrics'!$A$1:$A$38,0),MATCH(W$2,'ORG-Metrics'!$1:$1,0)),0)</f>
        <v>0</v>
      </c>
    </row>
    <row r="13" spans="1:23" ht="16.2" thickBot="1" x14ac:dyDescent="0.35">
      <c r="A13" s="98"/>
      <c r="B13" s="98"/>
      <c r="C13" s="102">
        <f>IFERROR(INDEX('ORG-Metrics'!$A$1:$U$38,MATCH($A13,'ORG-Metrics'!$A$1:$A$38,0),MATCH(C$2,'ORG-Metrics'!$1:$1,0)),0)</f>
        <v>0</v>
      </c>
      <c r="D13" s="102">
        <f>IFERROR(INDEX('ORG-Metrics'!$A$1:$U$38,MATCH($A13,'ORG-Metrics'!$A$1:$A$38,0),MATCH(D$2,'ORG-Metrics'!$1:$1,0)),0)</f>
        <v>0</v>
      </c>
      <c r="E13" s="102">
        <f>IFERROR(INDEX('ORG-Metrics'!$A$1:$U$38,MATCH($A13,'ORG-Metrics'!$A$1:$A$38,0),MATCH(E$2,'ORG-Metrics'!$1:$1,0)),0)</f>
        <v>0</v>
      </c>
      <c r="F13" s="102">
        <f>IFERROR(INDEX('ORG-Metrics'!$A$1:$U$38,MATCH($A13,'ORG-Metrics'!$A$1:$A$38,0),MATCH(F$2,'ORG-Metrics'!$1:$1,0)),0)</f>
        <v>0</v>
      </c>
      <c r="G13" s="102">
        <f>IFERROR(INDEX('ORG-Metrics'!$A$1:$U$38,MATCH($A13,'ORG-Metrics'!$A$1:$A$38,0),MATCH(G$2,'ORG-Metrics'!$1:$1,0)),0)</f>
        <v>0</v>
      </c>
      <c r="H13" s="102">
        <f>IFERROR(INDEX('ORG-Metrics'!$A$1:$U$38,MATCH($A13,'ORG-Metrics'!$A$1:$A$38,0),MATCH(H$2,'ORG-Metrics'!$1:$1,0)),0)</f>
        <v>0</v>
      </c>
      <c r="I13" s="102">
        <f>IFERROR(INDEX('ORG-Metrics'!$A$1:$U$38,MATCH($A13,'ORG-Metrics'!$A$1:$A$38,0),MATCH(I$2,'ORG-Metrics'!$1:$1,0)),0)</f>
        <v>0</v>
      </c>
      <c r="J13" s="102">
        <f>IFERROR(INDEX('ORG-Metrics'!$A$1:$U$38,MATCH($A13,'ORG-Metrics'!$A$1:$A$38,0),MATCH(J$2,'ORG-Metrics'!$1:$1,0)),0)</f>
        <v>0</v>
      </c>
      <c r="K13" s="102">
        <f>IFERROR(INDEX('ORG-Metrics'!$A$1:$U$38,MATCH($A13,'ORG-Metrics'!$A$1:$A$38,0),MATCH(K$2,'ORG-Metrics'!$1:$1,0)),0)</f>
        <v>0</v>
      </c>
      <c r="L13" s="102">
        <f>IFERROR(INDEX('ORG-Metrics'!$A$1:$U$38,MATCH($A13,'ORG-Metrics'!$A$1:$A$38,0),MATCH(L$2,'ORG-Metrics'!$1:$1,0)),0)</f>
        <v>0</v>
      </c>
      <c r="M13" s="102">
        <f>IFERROR(INDEX('ORG-Metrics'!$A$1:$U$38,MATCH($A13,'ORG-Metrics'!$A$1:$A$38,0),MATCH(M$2,'ORG-Metrics'!$1:$1,0)),0)</f>
        <v>0</v>
      </c>
      <c r="N13" s="102">
        <f>IFERROR(INDEX('ORG-Metrics'!$A$1:$U$38,MATCH($A13,'ORG-Metrics'!$A$1:$A$38,0),MATCH(N$2,'ORG-Metrics'!$1:$1,0)),0)</f>
        <v>0</v>
      </c>
      <c r="O13" s="102">
        <f>IFERROR(INDEX('ORG-Metrics'!$A$1:$U$38,MATCH($A13,'ORG-Metrics'!$A$1:$A$38,0),MATCH(O$2,'ORG-Metrics'!$1:$1,0)),0)</f>
        <v>0</v>
      </c>
      <c r="P13" s="102">
        <f>IFERROR(INDEX('ORG-Metrics'!$A$1:$U$38,MATCH($A13,'ORG-Metrics'!$A$1:$A$38,0),MATCH(P$2,'ORG-Metrics'!$1:$1,0)),0)</f>
        <v>0</v>
      </c>
      <c r="Q13" s="102">
        <f>IFERROR(INDEX('ORG-Metrics'!$A$1:$U$38,MATCH($A13,'ORG-Metrics'!$A$1:$A$38,0),MATCH(Q$2,'ORG-Metrics'!$1:$1,0)),0)</f>
        <v>0</v>
      </c>
      <c r="R13" s="102">
        <f>IFERROR(INDEX('ORG-Metrics'!$A$1:$U$38,MATCH($A13,'ORG-Metrics'!$A$1:$A$38,0),MATCH(R$2,'ORG-Metrics'!$1:$1,0)),0)</f>
        <v>0</v>
      </c>
      <c r="S13" s="102">
        <f>IFERROR(INDEX('ORG-Metrics'!$A$1:$U$38,MATCH($A13,'ORG-Metrics'!$A$1:$A$38,0),MATCH(S$2,'ORG-Metrics'!$1:$1,0)),0)</f>
        <v>0</v>
      </c>
      <c r="T13" s="102">
        <f>IFERROR(INDEX('ORG-Metrics'!$A$1:$U$38,MATCH($A13,'ORG-Metrics'!$A$1:$A$38,0),MATCH(T$2,'ORG-Metrics'!$1:$1,0)),0)</f>
        <v>0</v>
      </c>
      <c r="U13" s="102">
        <f>IFERROR(INDEX('ORG-Metrics'!$A$1:$U$38,MATCH($A13,'ORG-Metrics'!$A$1:$A$38,0),MATCH(U$2,'ORG-Metrics'!$1:$1,0)),0)</f>
        <v>0</v>
      </c>
      <c r="V13" s="102">
        <f>IFERROR(INDEX('ORG-Metrics'!$A$1:$U$38,MATCH($A13,'ORG-Metrics'!$A$1:$A$38,0),MATCH(V$2,'ORG-Metrics'!$1:$1,0)),0)</f>
        <v>0</v>
      </c>
      <c r="W13" s="102">
        <f>IFERROR(INDEX('ORG-Metrics'!$A$1:$U$38,MATCH($A13,'ORG-Metrics'!$A$1:$A$38,0),MATCH(W$2,'ORG-Metrics'!$1:$1,0)),0)</f>
        <v>0</v>
      </c>
    </row>
    <row r="14" spans="1:23" ht="16.2" thickBot="1" x14ac:dyDescent="0.35">
      <c r="A14" s="209" t="s">
        <v>21</v>
      </c>
      <c r="B14" s="209"/>
      <c r="C14" s="209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</row>
    <row r="15" spans="1:23" ht="16.2" thickBot="1" x14ac:dyDescent="0.35">
      <c r="A15" s="99" t="str" cm="1">
        <f t="array" ref="A15:B22">_xlfn._xlws.FILTER(Calculations!$C$3:$D$99,Calculations!$D$3:$D$99&lt;&gt;0)</f>
        <v>Hospitals Chosen</v>
      </c>
      <c r="B15" s="99" t="str">
        <v>Efficiencies</v>
      </c>
      <c r="C15" s="99" t="str" cm="1">
        <f t="array" ref="C15:F15">_xlfn._xlws.FILTER(Calculations!H3:Z3,Calculations!H3:Z3&lt;&gt;0)</f>
        <v>Surgical Cases</v>
      </c>
      <c r="D15" s="99" t="str">
        <v>Hip Fracture Cases</v>
      </c>
      <c r="E15" s="99" t="str">
        <v>Cost per Patient-day</v>
      </c>
      <c r="F15" s="100" t="str">
        <v>Surgical ALC Days</v>
      </c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</row>
    <row r="16" spans="1:23" x14ac:dyDescent="0.3">
      <c r="A16" s="118" t="str">
        <v>AB</v>
      </c>
      <c r="B16" s="118">
        <v>0.99999999999999989</v>
      </c>
      <c r="C16" s="144">
        <f>Results!$D2*_xlfn.XLOOKUP(Results!$C2,Target!$A$29:$A$93,Target!C$29:C$93,0,0)+Results!$F2*_xlfn.XLOOKUP(Results!$E2,Target!$A$29:$A$93,Target!C$29:C$93,0,0)+Results!$H2*_xlfn.XLOOKUP(Results!$G2,Target!$A$29:$A$93,Target!C$29:C$93,0,0)</f>
        <v>14201.23795490936</v>
      </c>
      <c r="D16" s="144">
        <f>Results!$D2*_xlfn.XLOOKUP(Results!$C2,Target!$A$29:$A$93,Target!D$29:D$93,0,0)+Results!$F2*_xlfn.XLOOKUP(Results!$E2,Target!$A$29:$A$93,Target!D$29:D$93,0,0)+Results!$H2*_xlfn.XLOOKUP(Results!$G2,Target!$A$29:$A$93,Target!D$29:D$93,0,0)</f>
        <v>361.30558307929294</v>
      </c>
      <c r="E16" s="144">
        <f>Results!$D2*_xlfn.XLOOKUP(Results!$C2,Target!$A$29:$A$93,Target!E$29:E$93,0,0)+Results!$F2*_xlfn.XLOOKUP(Results!$E2,Target!$A$29:$A$93,Target!E$29:E$93,0,0)+Results!$H2*_xlfn.XLOOKUP(Results!$G2,Target!$A$29:$A$93,Target!E$29:E$93,0,0)</f>
        <v>1496.5400104391686</v>
      </c>
      <c r="F16" s="145">
        <f>Results!$D2*_xlfn.XLOOKUP(Results!$C2,Target!$A$29:$A$93,Target!F$29:F$93,0,0)+Results!$F2*_xlfn.XLOOKUP(Results!$E2,Target!$A$29:$A$93,Target!F$29:F$93,0,0)+Results!$H2*_xlfn.XLOOKUP(Results!$G2,Target!$A$29:$A$93,Target!F$29:F$93,0,0)</f>
        <v>5179.1205589007013</v>
      </c>
      <c r="G16" s="124">
        <f>Results!$D2*_xlfn.XLOOKUP(Results!$C2,Target!$A$29:$A$93,Target!G$29:G$93,0,0)+Results!$F2*_xlfn.XLOOKUP(Results!$E2,Target!$A$29:$A$93,Target!G$29:G$93,0,0)+Results!$H2*_xlfn.XLOOKUP(Results!$G2,Target!$A$29:$A$93,Target!G$29:G$93,0,0)</f>
        <v>0</v>
      </c>
      <c r="H16" s="124">
        <f>Results!$D2*_xlfn.XLOOKUP(Results!$C2,Target!$A$29:$A$93,Target!H$29:H$93,0,0)+Results!$F2*_xlfn.XLOOKUP(Results!$E2,Target!$A$29:$A$93,Target!H$29:H$93,0,0)+Results!$H2*_xlfn.XLOOKUP(Results!$G2,Target!$A$29:$A$93,Target!H$29:H$93,0,0)</f>
        <v>0</v>
      </c>
      <c r="I16" s="124">
        <f>Results!$D2*_xlfn.XLOOKUP(Results!$C2,Target!$A$29:$A$93,Target!I$29:I$93,0,0)+Results!$F2*_xlfn.XLOOKUP(Results!$E2,Target!$A$29:$A$93,Target!I$29:I$93,0,0)+Results!$H2*_xlfn.XLOOKUP(Results!$G2,Target!$A$29:$A$93,Target!I$29:I$93,0,0)</f>
        <v>0</v>
      </c>
      <c r="J16" s="124">
        <f>Results!$D2*_xlfn.XLOOKUP(Results!$C2,Target!$A$29:$A$93,Target!J$29:J$93,0,0)+Results!$F2*_xlfn.XLOOKUP(Results!$E2,Target!$A$29:$A$93,Target!J$29:J$93,0,0)+Results!$H2*_xlfn.XLOOKUP(Results!$G2,Target!$A$29:$A$93,Target!J$29:J$93,0,0)</f>
        <v>0</v>
      </c>
      <c r="K16" s="124">
        <f>Results!$D2*_xlfn.XLOOKUP(Results!$C2,Target!$A$29:$A$93,Target!K$29:K$93,0,0)+Results!$F2*_xlfn.XLOOKUP(Results!$E2,Target!$A$29:$A$93,Target!K$29:K$93,0,0)+Results!$H2*_xlfn.XLOOKUP(Results!$G2,Target!$A$29:$A$93,Target!K$29:K$93,0,0)</f>
        <v>0</v>
      </c>
      <c r="L16" s="124">
        <f>Results!$D2*_xlfn.XLOOKUP(Results!$C2,Target!$A$29:$A$93,Target!L$29:L$93,0,0)+Results!$F2*_xlfn.XLOOKUP(Results!$E2,Target!$A$29:$A$93,Target!L$29:L$93,0,0)+Results!$H2*_xlfn.XLOOKUP(Results!$G2,Target!$A$29:$A$93,Target!L$29:L$93,0,0)</f>
        <v>0</v>
      </c>
      <c r="M16" s="124">
        <f>Results!$D2*_xlfn.XLOOKUP(Results!$C2,Target!$A$29:$A$93,Target!M$29:M$93,0,0)+Results!$F2*_xlfn.XLOOKUP(Results!$E2,Target!$A$29:$A$93,Target!M$29:M$93,0,0)+Results!$H2*_xlfn.XLOOKUP(Results!$G2,Target!$A$29:$A$93,Target!M$29:M$93,0,0)</f>
        <v>0</v>
      </c>
      <c r="N16" s="124">
        <f>Results!$D2*_xlfn.XLOOKUP(Results!$C2,Target!$A$29:$A$93,Target!N$29:N$93,0,0)+Results!$F2*_xlfn.XLOOKUP(Results!$E2,Target!$A$29:$A$93,Target!N$29:N$93,0,0)+Results!$H2*_xlfn.XLOOKUP(Results!$G2,Target!$A$29:$A$93,Target!N$29:N$93,0,0)</f>
        <v>0</v>
      </c>
      <c r="O16" s="124">
        <f>Results!$D2*_xlfn.XLOOKUP(Results!$C2,Target!$A$29:$A$93,Target!O$29:O$93,0,0)+Results!$F2*_xlfn.XLOOKUP(Results!$E2,Target!$A$29:$A$93,Target!O$29:O$93,0,0)+Results!$H2*_xlfn.XLOOKUP(Results!$G2,Target!$A$29:$A$93,Target!O$29:O$93,0,0)</f>
        <v>0</v>
      </c>
      <c r="P16" s="124">
        <f>Results!$D2*_xlfn.XLOOKUP(Results!$C2,Target!$A$29:$A$93,Target!P$29:P$93,0,0)+Results!$F2*_xlfn.XLOOKUP(Results!$E2,Target!$A$29:$A$93,Target!P$29:P$93,0,0)+Results!$H2*_xlfn.XLOOKUP(Results!$G2,Target!$A$29:$A$93,Target!P$29:P$93,0,0)</f>
        <v>0</v>
      </c>
      <c r="Q16" s="124">
        <f>Results!$D2*_xlfn.XLOOKUP(Results!$C2,Target!$A$29:$A$93,Target!Q$29:Q$93,0,0)+Results!$F2*_xlfn.XLOOKUP(Results!$E2,Target!$A$29:$A$93,Target!Q$29:Q$93,0,0)+Results!$H2*_xlfn.XLOOKUP(Results!$G2,Target!$A$29:$A$93,Target!Q$29:Q$93,0,0)</f>
        <v>0</v>
      </c>
      <c r="R16" s="124">
        <f>Results!$D2*_xlfn.XLOOKUP(Results!$C2,Target!$A$29:$A$93,Target!R$29:R$93,0,0)+Results!$F2*_xlfn.XLOOKUP(Results!$E2,Target!$A$29:$A$93,Target!R$29:R$93,0,0)+Results!$H2*_xlfn.XLOOKUP(Results!$G2,Target!$A$29:$A$93,Target!R$29:R$93,0,0)</f>
        <v>0</v>
      </c>
      <c r="S16" s="124">
        <f>Results!$D2*_xlfn.XLOOKUP(Results!$C2,Target!$A$29:$A$93,Target!S$29:S$93,0,0)+Results!$F2*_xlfn.XLOOKUP(Results!$E2,Target!$A$29:$A$93,Target!S$29:S$93,0,0)+Results!$H2*_xlfn.XLOOKUP(Results!$G2,Target!$A$29:$A$93,Target!S$29:S$93,0,0)</f>
        <v>0</v>
      </c>
      <c r="T16" s="124">
        <f>Results!$D2*_xlfn.XLOOKUP(Results!$C2,Target!$A$29:$A$93,Target!T$29:T$93,0,0)+Results!$F2*_xlfn.XLOOKUP(Results!$E2,Target!$A$29:$A$93,Target!T$29:T$93,0,0)+Results!$H2*_xlfn.XLOOKUP(Results!$G2,Target!$A$29:$A$93,Target!T$29:T$93,0,0)</f>
        <v>0</v>
      </c>
      <c r="U16" s="124">
        <f>Results!$D2*_xlfn.XLOOKUP(Results!$C2,Target!$A$29:$A$93,Target!U$29:U$93,0,0)+Results!$F2*_xlfn.XLOOKUP(Results!$E2,Target!$A$29:$A$93,Target!U$29:U$93,0,0)+Results!$H2*_xlfn.XLOOKUP(Results!$G2,Target!$A$29:$A$93,Target!U$29:U$93,0,0)</f>
        <v>0</v>
      </c>
      <c r="V16" s="124">
        <f>Results!$D2*_xlfn.XLOOKUP(Results!$C2,Target!$A$29:$A$93,Target!V$29:V$93,0,0)+Results!$F2*_xlfn.XLOOKUP(Results!$E2,Target!$A$29:$A$93,Target!V$29:V$93,0,0)+Results!$H2*_xlfn.XLOOKUP(Results!$G2,Target!$A$29:$A$93,Target!V$29:V$93,0,0)</f>
        <v>0</v>
      </c>
      <c r="W16" s="124">
        <f>Results!$D2*_xlfn.XLOOKUP(Results!$C2,Target!$A$29:$A$93,Target!W$29:W$93,0,0)+Results!$F2*_xlfn.XLOOKUP(Results!$E2,Target!$A$29:$A$93,Target!W$29:W$93,0,0)+Results!$H2*_xlfn.XLOOKUP(Results!$G2,Target!$A$29:$A$93,Target!W$29:W$93,0,0)</f>
        <v>0</v>
      </c>
    </row>
    <row r="17" spans="1:23" x14ac:dyDescent="0.3">
      <c r="A17" s="97" t="str">
        <v>AJ</v>
      </c>
      <c r="B17" s="97">
        <v>0.81766481474306474</v>
      </c>
      <c r="C17" s="146">
        <f>Results!$D3*_xlfn.XLOOKUP(Results!$C3,Target!$A$29:$A$93,Target!C$29:C$93,0,0)+Results!$F3*_xlfn.XLOOKUP(Results!$E3,Target!$A$29:$A$93,Target!C$29:C$93,0,0)+Results!$H3*_xlfn.XLOOKUP(Results!$G3,Target!$A$29:$A$93,Target!C$29:C$93,0,0)</f>
        <v>16327.80654219495</v>
      </c>
      <c r="D17" s="146">
        <f>Results!$D3*_xlfn.XLOOKUP(Results!$C3,Target!$A$29:$A$93,Target!D$29:D$93,0,0)+Results!$F3*_xlfn.XLOOKUP(Results!$E3,Target!$A$29:$A$93,Target!D$29:D$93,0,0)+Results!$H3*_xlfn.XLOOKUP(Results!$G3,Target!$A$29:$A$93,Target!D$29:D$93,0,0)</f>
        <v>354.29779247992496</v>
      </c>
      <c r="E17" s="146">
        <f>Results!$D3*_xlfn.XLOOKUP(Results!$C3,Target!$A$29:$A$93,Target!E$29:E$93,0,0)+Results!$F3*_xlfn.XLOOKUP(Results!$E3,Target!$A$29:$A$93,Target!E$29:E$93,0,0)+Results!$H3*_xlfn.XLOOKUP(Results!$G3,Target!$A$29:$A$93,Target!E$29:E$93,0,0)</f>
        <v>1489.1077942797046</v>
      </c>
      <c r="F17" s="147">
        <f>Results!$D3*_xlfn.XLOOKUP(Results!$C3,Target!$A$29:$A$93,Target!F$29:F$93,0,0)+Results!$F3*_xlfn.XLOOKUP(Results!$E3,Target!$A$29:$A$93,Target!F$29:F$93,0,0)+Results!$H3*_xlfn.XLOOKUP(Results!$G3,Target!$A$29:$A$93,Target!F$29:F$93,0,0)</f>
        <v>11644.630172612236</v>
      </c>
      <c r="G17" s="101">
        <f>Results!$D3*_xlfn.XLOOKUP(Results!$C3,Target!$A$29:$A$93,Target!G$29:G$93,0,0)+Results!$F3*_xlfn.XLOOKUP(Results!$E3,Target!$A$29:$A$93,Target!G$29:G$93,0,0)+Results!$H3*_xlfn.XLOOKUP(Results!$G3,Target!$A$29:$A$93,Target!G$29:G$93,0,0)</f>
        <v>0</v>
      </c>
      <c r="H17" s="101">
        <f>Results!$D3*_xlfn.XLOOKUP(Results!$C3,Target!$A$29:$A$93,Target!H$29:H$93,0,0)+Results!$F3*_xlfn.XLOOKUP(Results!$E3,Target!$A$29:$A$93,Target!H$29:H$93,0,0)+Results!$H3*_xlfn.XLOOKUP(Results!$G3,Target!$A$29:$A$93,Target!H$29:H$93,0,0)</f>
        <v>0</v>
      </c>
      <c r="I17" s="101">
        <f>Results!$D3*_xlfn.XLOOKUP(Results!$C3,Target!$A$29:$A$93,Target!I$29:I$93,0,0)+Results!$F3*_xlfn.XLOOKUP(Results!$E3,Target!$A$29:$A$93,Target!I$29:I$93,0,0)+Results!$H3*_xlfn.XLOOKUP(Results!$G3,Target!$A$29:$A$93,Target!I$29:I$93,0,0)</f>
        <v>0</v>
      </c>
      <c r="J17" s="101">
        <f>Results!$D3*_xlfn.XLOOKUP(Results!$C3,Target!$A$29:$A$93,Target!J$29:J$93,0,0)+Results!$F3*_xlfn.XLOOKUP(Results!$E3,Target!$A$29:$A$93,Target!J$29:J$93,0,0)+Results!$H3*_xlfn.XLOOKUP(Results!$G3,Target!$A$29:$A$93,Target!J$29:J$93,0,0)</f>
        <v>0</v>
      </c>
      <c r="K17" s="101">
        <f>Results!$D3*_xlfn.XLOOKUP(Results!$C3,Target!$A$29:$A$93,Target!K$29:K$93,0,0)+Results!$F3*_xlfn.XLOOKUP(Results!$E3,Target!$A$29:$A$93,Target!K$29:K$93,0,0)+Results!$H3*_xlfn.XLOOKUP(Results!$G3,Target!$A$29:$A$93,Target!K$29:K$93,0,0)</f>
        <v>0</v>
      </c>
      <c r="L17" s="101">
        <f>Results!$D3*_xlfn.XLOOKUP(Results!$C3,Target!$A$29:$A$93,Target!L$29:L$93,0,0)+Results!$F3*_xlfn.XLOOKUP(Results!$E3,Target!$A$29:$A$93,Target!L$29:L$93,0,0)+Results!$H3*_xlfn.XLOOKUP(Results!$G3,Target!$A$29:$A$93,Target!L$29:L$93,0,0)</f>
        <v>0</v>
      </c>
      <c r="M17" s="101">
        <f>Results!$D3*_xlfn.XLOOKUP(Results!$C3,Target!$A$29:$A$93,Target!M$29:M$93,0,0)+Results!$F3*_xlfn.XLOOKUP(Results!$E3,Target!$A$29:$A$93,Target!M$29:M$93,0,0)+Results!$H3*_xlfn.XLOOKUP(Results!$G3,Target!$A$29:$A$93,Target!M$29:M$93,0,0)</f>
        <v>0</v>
      </c>
      <c r="N17" s="101">
        <f>Results!$D3*_xlfn.XLOOKUP(Results!$C3,Target!$A$29:$A$93,Target!N$29:N$93,0,0)+Results!$F3*_xlfn.XLOOKUP(Results!$E3,Target!$A$29:$A$93,Target!N$29:N$93,0,0)+Results!$H3*_xlfn.XLOOKUP(Results!$G3,Target!$A$29:$A$93,Target!N$29:N$93,0,0)</f>
        <v>0</v>
      </c>
      <c r="O17" s="101">
        <f>Results!$D3*_xlfn.XLOOKUP(Results!$C3,Target!$A$29:$A$93,Target!O$29:O$93,0,0)+Results!$F3*_xlfn.XLOOKUP(Results!$E3,Target!$A$29:$A$93,Target!O$29:O$93,0,0)+Results!$H3*_xlfn.XLOOKUP(Results!$G3,Target!$A$29:$A$93,Target!O$29:O$93,0,0)</f>
        <v>0</v>
      </c>
      <c r="P17" s="101">
        <f>Results!$D3*_xlfn.XLOOKUP(Results!$C3,Target!$A$29:$A$93,Target!P$29:P$93,0,0)+Results!$F3*_xlfn.XLOOKUP(Results!$E3,Target!$A$29:$A$93,Target!P$29:P$93,0,0)+Results!$H3*_xlfn.XLOOKUP(Results!$G3,Target!$A$29:$A$93,Target!P$29:P$93,0,0)</f>
        <v>0</v>
      </c>
      <c r="Q17" s="101">
        <f>Results!$D3*_xlfn.XLOOKUP(Results!$C3,Target!$A$29:$A$93,Target!Q$29:Q$93,0,0)+Results!$F3*_xlfn.XLOOKUP(Results!$E3,Target!$A$29:$A$93,Target!Q$29:Q$93,0,0)+Results!$H3*_xlfn.XLOOKUP(Results!$G3,Target!$A$29:$A$93,Target!Q$29:Q$93,0,0)</f>
        <v>0</v>
      </c>
      <c r="R17" s="101">
        <f>Results!$D3*_xlfn.XLOOKUP(Results!$C3,Target!$A$29:$A$93,Target!R$29:R$93,0,0)+Results!$F3*_xlfn.XLOOKUP(Results!$E3,Target!$A$29:$A$93,Target!R$29:R$93,0,0)+Results!$H3*_xlfn.XLOOKUP(Results!$G3,Target!$A$29:$A$93,Target!R$29:R$93,0,0)</f>
        <v>0</v>
      </c>
      <c r="S17" s="101">
        <f>Results!$D3*_xlfn.XLOOKUP(Results!$C3,Target!$A$29:$A$93,Target!S$29:S$93,0,0)+Results!$F3*_xlfn.XLOOKUP(Results!$E3,Target!$A$29:$A$93,Target!S$29:S$93,0,0)+Results!$H3*_xlfn.XLOOKUP(Results!$G3,Target!$A$29:$A$93,Target!S$29:S$93,0,0)</f>
        <v>0</v>
      </c>
      <c r="T17" s="101">
        <f>Results!$D3*_xlfn.XLOOKUP(Results!$C3,Target!$A$29:$A$93,Target!T$29:T$93,0,0)+Results!$F3*_xlfn.XLOOKUP(Results!$E3,Target!$A$29:$A$93,Target!T$29:T$93,0,0)+Results!$H3*_xlfn.XLOOKUP(Results!$G3,Target!$A$29:$A$93,Target!T$29:T$93,0,0)</f>
        <v>0</v>
      </c>
      <c r="U17" s="101">
        <f>Results!$D3*_xlfn.XLOOKUP(Results!$C3,Target!$A$29:$A$93,Target!U$29:U$93,0,0)+Results!$F3*_xlfn.XLOOKUP(Results!$E3,Target!$A$29:$A$93,Target!U$29:U$93,0,0)+Results!$H3*_xlfn.XLOOKUP(Results!$G3,Target!$A$29:$A$93,Target!U$29:U$93,0,0)</f>
        <v>0</v>
      </c>
      <c r="V17" s="101">
        <f>Results!$D3*_xlfn.XLOOKUP(Results!$C3,Target!$A$29:$A$93,Target!V$29:V$93,0,0)+Results!$F3*_xlfn.XLOOKUP(Results!$E3,Target!$A$29:$A$93,Target!V$29:V$93,0,0)+Results!$H3*_xlfn.XLOOKUP(Results!$G3,Target!$A$29:$A$93,Target!V$29:V$93,0,0)</f>
        <v>0</v>
      </c>
      <c r="W17" s="101">
        <f>Results!$D3*_xlfn.XLOOKUP(Results!$C3,Target!$A$29:$A$93,Target!W$29:W$93,0,0)+Results!$F3*_xlfn.XLOOKUP(Results!$E3,Target!$A$29:$A$93,Target!W$29:W$93,0,0)+Results!$H3*_xlfn.XLOOKUP(Results!$G3,Target!$A$29:$A$93,Target!W$29:W$93,0,0)</f>
        <v>0</v>
      </c>
    </row>
    <row r="18" spans="1:23" x14ac:dyDescent="0.3">
      <c r="A18" s="97" t="str">
        <v>E</v>
      </c>
      <c r="B18" s="97">
        <v>0.79897009207919167</v>
      </c>
      <c r="C18" s="146">
        <f>Results!$D4*_xlfn.XLOOKUP(Results!$C4,Target!$A$29:$A$93,Target!C$29:C$93,0,0)+Results!$F4*_xlfn.XLOOKUP(Results!$E4,Target!$A$29:$A$93,Target!C$29:C$93,0,0)+Results!$H4*_xlfn.XLOOKUP(Results!$G4,Target!$A$29:$A$93,Target!C$29:C$93,0,0)</f>
        <v>16290.862172242363</v>
      </c>
      <c r="D18" s="146">
        <f>Results!$D4*_xlfn.XLOOKUP(Results!$C4,Target!$A$29:$A$93,Target!D$29:D$93,0,0)+Results!$F4*_xlfn.XLOOKUP(Results!$E4,Target!$A$29:$A$93,Target!D$29:D$93,0,0)+Results!$H4*_xlfn.XLOOKUP(Results!$G4,Target!$A$29:$A$93,Target!D$29:D$93,0,0)</f>
        <v>352.17136127434435</v>
      </c>
      <c r="E18" s="146">
        <f>Results!$D4*_xlfn.XLOOKUP(Results!$C4,Target!$A$29:$A$93,Target!E$29:E$93,0,0)+Results!$F4*_xlfn.XLOOKUP(Results!$E4,Target!$A$29:$A$93,Target!E$29:E$93,0,0)+Results!$H4*_xlfn.XLOOKUP(Results!$G4,Target!$A$29:$A$93,Target!E$29:E$93,0,0)</f>
        <v>1490.5218549616375</v>
      </c>
      <c r="F18" s="147">
        <f>Results!$D4*_xlfn.XLOOKUP(Results!$C4,Target!$A$29:$A$93,Target!F$29:F$93,0,0)+Results!$F4*_xlfn.XLOOKUP(Results!$E4,Target!$A$29:$A$93,Target!F$29:F$93,0,0)+Results!$H4*_xlfn.XLOOKUP(Results!$G4,Target!$A$29:$A$93,Target!F$29:F$93,0,0)</f>
        <v>11436.11274789761</v>
      </c>
      <c r="G18" s="101">
        <f>Results!$D4*_xlfn.XLOOKUP(Results!$C4,Target!$A$29:$A$93,Target!G$29:G$93,0,0)+Results!$F4*_xlfn.XLOOKUP(Results!$E4,Target!$A$29:$A$93,Target!G$29:G$93,0,0)+Results!$H4*_xlfn.XLOOKUP(Results!$G4,Target!$A$29:$A$93,Target!G$29:G$93,0,0)</f>
        <v>0</v>
      </c>
      <c r="H18" s="101">
        <f>Results!$D4*_xlfn.XLOOKUP(Results!$C4,Target!$A$29:$A$93,Target!H$29:H$93,0,0)+Results!$F4*_xlfn.XLOOKUP(Results!$E4,Target!$A$29:$A$93,Target!H$29:H$93,0,0)+Results!$H4*_xlfn.XLOOKUP(Results!$G4,Target!$A$29:$A$93,Target!H$29:H$93,0,0)</f>
        <v>0</v>
      </c>
      <c r="I18" s="101">
        <f>Results!$D4*_xlfn.XLOOKUP(Results!$C4,Target!$A$29:$A$93,Target!I$29:I$93,0,0)+Results!$F4*_xlfn.XLOOKUP(Results!$E4,Target!$A$29:$A$93,Target!I$29:I$93,0,0)+Results!$H4*_xlfn.XLOOKUP(Results!$G4,Target!$A$29:$A$93,Target!I$29:I$93,0,0)</f>
        <v>0</v>
      </c>
      <c r="J18" s="101">
        <f>Results!$D4*_xlfn.XLOOKUP(Results!$C4,Target!$A$29:$A$93,Target!J$29:J$93,0,0)+Results!$F4*_xlfn.XLOOKUP(Results!$E4,Target!$A$29:$A$93,Target!J$29:J$93,0,0)+Results!$H4*_xlfn.XLOOKUP(Results!$G4,Target!$A$29:$A$93,Target!J$29:J$93,0,0)</f>
        <v>0</v>
      </c>
      <c r="K18" s="101">
        <f>Results!$D4*_xlfn.XLOOKUP(Results!$C4,Target!$A$29:$A$93,Target!K$29:K$93,0,0)+Results!$F4*_xlfn.XLOOKUP(Results!$E4,Target!$A$29:$A$93,Target!K$29:K$93,0,0)+Results!$H4*_xlfn.XLOOKUP(Results!$G4,Target!$A$29:$A$93,Target!K$29:K$93,0,0)</f>
        <v>0</v>
      </c>
      <c r="L18" s="101">
        <f>Results!$D4*_xlfn.XLOOKUP(Results!$C4,Target!$A$29:$A$93,Target!L$29:L$93,0,0)+Results!$F4*_xlfn.XLOOKUP(Results!$E4,Target!$A$29:$A$93,Target!L$29:L$93,0,0)+Results!$H4*_xlfn.XLOOKUP(Results!$G4,Target!$A$29:$A$93,Target!L$29:L$93,0,0)</f>
        <v>0</v>
      </c>
      <c r="M18" s="101">
        <f>Results!$D4*_xlfn.XLOOKUP(Results!$C4,Target!$A$29:$A$93,Target!M$29:M$93,0,0)+Results!$F4*_xlfn.XLOOKUP(Results!$E4,Target!$A$29:$A$93,Target!M$29:M$93,0,0)+Results!$H4*_xlfn.XLOOKUP(Results!$G4,Target!$A$29:$A$93,Target!M$29:M$93,0,0)</f>
        <v>0</v>
      </c>
      <c r="N18" s="101">
        <f>Results!$D4*_xlfn.XLOOKUP(Results!$C4,Target!$A$29:$A$93,Target!N$29:N$93,0,0)+Results!$F4*_xlfn.XLOOKUP(Results!$E4,Target!$A$29:$A$93,Target!N$29:N$93,0,0)+Results!$H4*_xlfn.XLOOKUP(Results!$G4,Target!$A$29:$A$93,Target!N$29:N$93,0,0)</f>
        <v>0</v>
      </c>
      <c r="O18" s="101">
        <f>Results!$D4*_xlfn.XLOOKUP(Results!$C4,Target!$A$29:$A$93,Target!O$29:O$93,0,0)+Results!$F4*_xlfn.XLOOKUP(Results!$E4,Target!$A$29:$A$93,Target!O$29:O$93,0,0)+Results!$H4*_xlfn.XLOOKUP(Results!$G4,Target!$A$29:$A$93,Target!O$29:O$93,0,0)</f>
        <v>0</v>
      </c>
      <c r="P18" s="101">
        <f>Results!$D4*_xlfn.XLOOKUP(Results!$C4,Target!$A$29:$A$93,Target!P$29:P$93,0,0)+Results!$F4*_xlfn.XLOOKUP(Results!$E4,Target!$A$29:$A$93,Target!P$29:P$93,0,0)+Results!$H4*_xlfn.XLOOKUP(Results!$G4,Target!$A$29:$A$93,Target!P$29:P$93,0,0)</f>
        <v>0</v>
      </c>
      <c r="Q18" s="101">
        <f>Results!$D4*_xlfn.XLOOKUP(Results!$C4,Target!$A$29:$A$93,Target!Q$29:Q$93,0,0)+Results!$F4*_xlfn.XLOOKUP(Results!$E4,Target!$A$29:$A$93,Target!Q$29:Q$93,0,0)+Results!$H4*_xlfn.XLOOKUP(Results!$G4,Target!$A$29:$A$93,Target!Q$29:Q$93,0,0)</f>
        <v>0</v>
      </c>
      <c r="R18" s="101">
        <f>Results!$D4*_xlfn.XLOOKUP(Results!$C4,Target!$A$29:$A$93,Target!R$29:R$93,0,0)+Results!$F4*_xlfn.XLOOKUP(Results!$E4,Target!$A$29:$A$93,Target!R$29:R$93,0,0)+Results!$H4*_xlfn.XLOOKUP(Results!$G4,Target!$A$29:$A$93,Target!R$29:R$93,0,0)</f>
        <v>0</v>
      </c>
      <c r="S18" s="101">
        <f>Results!$D4*_xlfn.XLOOKUP(Results!$C4,Target!$A$29:$A$93,Target!S$29:S$93,0,0)+Results!$F4*_xlfn.XLOOKUP(Results!$E4,Target!$A$29:$A$93,Target!S$29:S$93,0,0)+Results!$H4*_xlfn.XLOOKUP(Results!$G4,Target!$A$29:$A$93,Target!S$29:S$93,0,0)</f>
        <v>0</v>
      </c>
      <c r="T18" s="101">
        <f>Results!$D4*_xlfn.XLOOKUP(Results!$C4,Target!$A$29:$A$93,Target!T$29:T$93,0,0)+Results!$F4*_xlfn.XLOOKUP(Results!$E4,Target!$A$29:$A$93,Target!T$29:T$93,0,0)+Results!$H4*_xlfn.XLOOKUP(Results!$G4,Target!$A$29:$A$93,Target!T$29:T$93,0,0)</f>
        <v>0</v>
      </c>
      <c r="U18" s="101">
        <f>Results!$D4*_xlfn.XLOOKUP(Results!$C4,Target!$A$29:$A$93,Target!U$29:U$93,0,0)+Results!$F4*_xlfn.XLOOKUP(Results!$E4,Target!$A$29:$A$93,Target!U$29:U$93,0,0)+Results!$H4*_xlfn.XLOOKUP(Results!$G4,Target!$A$29:$A$93,Target!U$29:U$93,0,0)</f>
        <v>0</v>
      </c>
      <c r="V18" s="101">
        <f>Results!$D4*_xlfn.XLOOKUP(Results!$C4,Target!$A$29:$A$93,Target!V$29:V$93,0,0)+Results!$F4*_xlfn.XLOOKUP(Results!$E4,Target!$A$29:$A$93,Target!V$29:V$93,0,0)+Results!$H4*_xlfn.XLOOKUP(Results!$G4,Target!$A$29:$A$93,Target!V$29:V$93,0,0)</f>
        <v>0</v>
      </c>
      <c r="W18" s="101">
        <f>Results!$D4*_xlfn.XLOOKUP(Results!$C4,Target!$A$29:$A$93,Target!W$29:W$93,0,0)+Results!$F4*_xlfn.XLOOKUP(Results!$E4,Target!$A$29:$A$93,Target!W$29:W$93,0,0)+Results!$H4*_xlfn.XLOOKUP(Results!$G4,Target!$A$29:$A$93,Target!W$29:W$93,0,0)</f>
        <v>0</v>
      </c>
    </row>
    <row r="19" spans="1:23" x14ac:dyDescent="0.3">
      <c r="A19" s="97" t="str">
        <v>L</v>
      </c>
      <c r="B19" s="97">
        <v>0.83271075571087128</v>
      </c>
      <c r="C19" s="146">
        <f>Results!$D5*_xlfn.XLOOKUP(Results!$C5,Target!$A$29:$A$93,Target!C$29:C$93,0,0)+Results!$F5*_xlfn.XLOOKUP(Results!$E5,Target!$A$29:$A$93,Target!C$29:C$93,0,0)+Results!$H5*_xlfn.XLOOKUP(Results!$G5,Target!$A$29:$A$93,Target!C$29:C$93,0,0)</f>
        <v>15548.883591606234</v>
      </c>
      <c r="D19" s="146">
        <f>Results!$D5*_xlfn.XLOOKUP(Results!$C5,Target!$A$29:$A$93,Target!D$29:D$93,0,0)+Results!$F5*_xlfn.XLOOKUP(Results!$E5,Target!$A$29:$A$93,Target!D$29:D$93,0,0)+Results!$H5*_xlfn.XLOOKUP(Results!$G5,Target!$A$29:$A$93,Target!D$29:D$93,0,0)</f>
        <v>309.46481600744755</v>
      </c>
      <c r="E19" s="146">
        <f>Results!$D5*_xlfn.XLOOKUP(Results!$C5,Target!$A$29:$A$93,Target!E$29:E$93,0,0)+Results!$F5*_xlfn.XLOOKUP(Results!$E5,Target!$A$29:$A$93,Target!E$29:E$93,0,0)+Results!$H5*_xlfn.XLOOKUP(Results!$G5,Target!$A$29:$A$93,Target!E$29:E$93,0,0)</f>
        <v>1518.921384823982</v>
      </c>
      <c r="F19" s="147">
        <f>Results!$D5*_xlfn.XLOOKUP(Results!$C5,Target!$A$29:$A$93,Target!F$29:F$93,0,0)+Results!$F5*_xlfn.XLOOKUP(Results!$E5,Target!$A$29:$A$93,Target!F$29:F$93,0,0)+Results!$H5*_xlfn.XLOOKUP(Results!$G5,Target!$A$29:$A$93,Target!F$29:F$93,0,0)</f>
        <v>7248.31734020152</v>
      </c>
      <c r="G19" s="101">
        <f>Results!$D5*_xlfn.XLOOKUP(Results!$C5,Target!$A$29:$A$93,Target!G$29:G$93,0,0)+Results!$F5*_xlfn.XLOOKUP(Results!$E5,Target!$A$29:$A$93,Target!G$29:G$93,0,0)+Results!$H5*_xlfn.XLOOKUP(Results!$G5,Target!$A$29:$A$93,Target!G$29:G$93,0,0)</f>
        <v>0</v>
      </c>
      <c r="H19" s="101">
        <f>Results!$D5*_xlfn.XLOOKUP(Results!$C5,Target!$A$29:$A$93,Target!H$29:H$93,0,0)+Results!$F5*_xlfn.XLOOKUP(Results!$E5,Target!$A$29:$A$93,Target!H$29:H$93,0,0)+Results!$H5*_xlfn.XLOOKUP(Results!$G5,Target!$A$29:$A$93,Target!H$29:H$93,0,0)</f>
        <v>0</v>
      </c>
      <c r="I19" s="101">
        <f>Results!$D5*_xlfn.XLOOKUP(Results!$C5,Target!$A$29:$A$93,Target!I$29:I$93,0,0)+Results!$F5*_xlfn.XLOOKUP(Results!$E5,Target!$A$29:$A$93,Target!I$29:I$93,0,0)+Results!$H5*_xlfn.XLOOKUP(Results!$G5,Target!$A$29:$A$93,Target!I$29:I$93,0,0)</f>
        <v>0</v>
      </c>
      <c r="J19" s="101">
        <f>Results!$D5*_xlfn.XLOOKUP(Results!$C5,Target!$A$29:$A$93,Target!J$29:J$93,0,0)+Results!$F5*_xlfn.XLOOKUP(Results!$E5,Target!$A$29:$A$93,Target!J$29:J$93,0,0)+Results!$H5*_xlfn.XLOOKUP(Results!$G5,Target!$A$29:$A$93,Target!J$29:J$93,0,0)</f>
        <v>0</v>
      </c>
      <c r="K19" s="101">
        <f>Results!$D5*_xlfn.XLOOKUP(Results!$C5,Target!$A$29:$A$93,Target!K$29:K$93,0,0)+Results!$F5*_xlfn.XLOOKUP(Results!$E5,Target!$A$29:$A$93,Target!K$29:K$93,0,0)+Results!$H5*_xlfn.XLOOKUP(Results!$G5,Target!$A$29:$A$93,Target!K$29:K$93,0,0)</f>
        <v>0</v>
      </c>
      <c r="L19" s="101">
        <f>Results!$D5*_xlfn.XLOOKUP(Results!$C5,Target!$A$29:$A$93,Target!L$29:L$93,0,0)+Results!$F5*_xlfn.XLOOKUP(Results!$E5,Target!$A$29:$A$93,Target!L$29:L$93,0,0)+Results!$H5*_xlfn.XLOOKUP(Results!$G5,Target!$A$29:$A$93,Target!L$29:L$93,0,0)</f>
        <v>0</v>
      </c>
      <c r="M19" s="101">
        <f>Results!$D5*_xlfn.XLOOKUP(Results!$C5,Target!$A$29:$A$93,Target!M$29:M$93,0,0)+Results!$F5*_xlfn.XLOOKUP(Results!$E5,Target!$A$29:$A$93,Target!M$29:M$93,0,0)+Results!$H5*_xlfn.XLOOKUP(Results!$G5,Target!$A$29:$A$93,Target!M$29:M$93,0,0)</f>
        <v>0</v>
      </c>
      <c r="N19" s="101">
        <f>Results!$D5*_xlfn.XLOOKUP(Results!$C5,Target!$A$29:$A$93,Target!N$29:N$93,0,0)+Results!$F5*_xlfn.XLOOKUP(Results!$E5,Target!$A$29:$A$93,Target!N$29:N$93,0,0)+Results!$H5*_xlfn.XLOOKUP(Results!$G5,Target!$A$29:$A$93,Target!N$29:N$93,0,0)</f>
        <v>0</v>
      </c>
      <c r="O19" s="101">
        <f>Results!$D5*_xlfn.XLOOKUP(Results!$C5,Target!$A$29:$A$93,Target!O$29:O$93,0,0)+Results!$F5*_xlfn.XLOOKUP(Results!$E5,Target!$A$29:$A$93,Target!O$29:O$93,0,0)+Results!$H5*_xlfn.XLOOKUP(Results!$G5,Target!$A$29:$A$93,Target!O$29:O$93,0,0)</f>
        <v>0</v>
      </c>
      <c r="P19" s="101">
        <f>Results!$D5*_xlfn.XLOOKUP(Results!$C5,Target!$A$29:$A$93,Target!P$29:P$93,0,0)+Results!$F5*_xlfn.XLOOKUP(Results!$E5,Target!$A$29:$A$93,Target!P$29:P$93,0,0)+Results!$H5*_xlfn.XLOOKUP(Results!$G5,Target!$A$29:$A$93,Target!P$29:P$93,0,0)</f>
        <v>0</v>
      </c>
      <c r="Q19" s="101">
        <f>Results!$D5*_xlfn.XLOOKUP(Results!$C5,Target!$A$29:$A$93,Target!Q$29:Q$93,0,0)+Results!$F5*_xlfn.XLOOKUP(Results!$E5,Target!$A$29:$A$93,Target!Q$29:Q$93,0,0)+Results!$H5*_xlfn.XLOOKUP(Results!$G5,Target!$A$29:$A$93,Target!Q$29:Q$93,0,0)</f>
        <v>0</v>
      </c>
      <c r="R19" s="101">
        <f>Results!$D5*_xlfn.XLOOKUP(Results!$C5,Target!$A$29:$A$93,Target!R$29:R$93,0,0)+Results!$F5*_xlfn.XLOOKUP(Results!$E5,Target!$A$29:$A$93,Target!R$29:R$93,0,0)+Results!$H5*_xlfn.XLOOKUP(Results!$G5,Target!$A$29:$A$93,Target!R$29:R$93,0,0)</f>
        <v>0</v>
      </c>
      <c r="S19" s="101">
        <f>Results!$D5*_xlfn.XLOOKUP(Results!$C5,Target!$A$29:$A$93,Target!S$29:S$93,0,0)+Results!$F5*_xlfn.XLOOKUP(Results!$E5,Target!$A$29:$A$93,Target!S$29:S$93,0,0)+Results!$H5*_xlfn.XLOOKUP(Results!$G5,Target!$A$29:$A$93,Target!S$29:S$93,0,0)</f>
        <v>0</v>
      </c>
      <c r="T19" s="101">
        <f>Results!$D5*_xlfn.XLOOKUP(Results!$C5,Target!$A$29:$A$93,Target!T$29:T$93,0,0)+Results!$F5*_xlfn.XLOOKUP(Results!$E5,Target!$A$29:$A$93,Target!T$29:T$93,0,0)+Results!$H5*_xlfn.XLOOKUP(Results!$G5,Target!$A$29:$A$93,Target!T$29:T$93,0,0)</f>
        <v>0</v>
      </c>
      <c r="U19" s="101">
        <f>Results!$D5*_xlfn.XLOOKUP(Results!$C5,Target!$A$29:$A$93,Target!U$29:U$93,0,0)+Results!$F5*_xlfn.XLOOKUP(Results!$E5,Target!$A$29:$A$93,Target!U$29:U$93,0,0)+Results!$H5*_xlfn.XLOOKUP(Results!$G5,Target!$A$29:$A$93,Target!U$29:U$93,0,0)</f>
        <v>0</v>
      </c>
      <c r="V19" s="101">
        <f>Results!$D5*_xlfn.XLOOKUP(Results!$C5,Target!$A$29:$A$93,Target!V$29:V$93,0,0)+Results!$F5*_xlfn.XLOOKUP(Results!$E5,Target!$A$29:$A$93,Target!V$29:V$93,0,0)+Results!$H5*_xlfn.XLOOKUP(Results!$G5,Target!$A$29:$A$93,Target!V$29:V$93,0,0)</f>
        <v>0</v>
      </c>
      <c r="W19" s="101">
        <f>Results!$D5*_xlfn.XLOOKUP(Results!$C5,Target!$A$29:$A$93,Target!W$29:W$93,0,0)+Results!$F5*_xlfn.XLOOKUP(Results!$E5,Target!$A$29:$A$93,Target!W$29:W$93,0,0)+Results!$H5*_xlfn.XLOOKUP(Results!$G5,Target!$A$29:$A$93,Target!W$29:W$93,0,0)</f>
        <v>0</v>
      </c>
    </row>
    <row r="20" spans="1:23" x14ac:dyDescent="0.3">
      <c r="A20" s="97" t="str">
        <v>M</v>
      </c>
      <c r="B20" s="97">
        <v>1</v>
      </c>
      <c r="C20" s="146">
        <f>Results!$D6*_xlfn.XLOOKUP(Results!$C6,Target!$A$29:$A$93,Target!C$29:C$93,0,0)+Results!$F6*_xlfn.XLOOKUP(Results!$E6,Target!$A$29:$A$93,Target!C$29:C$93,0,0)+Results!$H6*_xlfn.XLOOKUP(Results!$G6,Target!$A$29:$A$93,Target!C$29:C$93,0,0)</f>
        <v>14996.467224204838</v>
      </c>
      <c r="D20" s="146">
        <f>Results!$D6*_xlfn.XLOOKUP(Results!$C6,Target!$A$29:$A$93,Target!D$29:D$93,0,0)+Results!$F6*_xlfn.XLOOKUP(Results!$E6,Target!$A$29:$A$93,Target!D$29:D$93,0,0)+Results!$H6*_xlfn.XLOOKUP(Results!$G6,Target!$A$29:$A$93,Target!D$29:D$93,0,0)</f>
        <v>277.66902672687803</v>
      </c>
      <c r="E20" s="146">
        <f>Results!$D6*_xlfn.XLOOKUP(Results!$C6,Target!$A$29:$A$93,Target!E$29:E$93,0,0)+Results!$F6*_xlfn.XLOOKUP(Results!$E6,Target!$A$29:$A$93,Target!E$29:E$93,0,0)+Results!$H6*_xlfn.XLOOKUP(Results!$G6,Target!$A$29:$A$93,Target!E$29:E$93,0,0)</f>
        <v>1540.0653444097334</v>
      </c>
      <c r="F20" s="147">
        <f>Results!$D6*_xlfn.XLOOKUP(Results!$C6,Target!$A$29:$A$93,Target!F$29:F$93,0,0)+Results!$F6*_xlfn.XLOOKUP(Results!$E6,Target!$A$29:$A$93,Target!F$29:F$93,0,0)+Results!$H6*_xlfn.XLOOKUP(Results!$G6,Target!$A$29:$A$93,Target!F$29:F$93,0,0)</f>
        <v>4130.4285130653816</v>
      </c>
      <c r="G20" s="101">
        <f>Results!$D6*_xlfn.XLOOKUP(Results!$C6,Target!$A$29:$A$93,Target!G$29:G$93,0,0)+Results!$F6*_xlfn.XLOOKUP(Results!$E6,Target!$A$29:$A$93,Target!G$29:G$93,0,0)+Results!$H6*_xlfn.XLOOKUP(Results!$G6,Target!$A$29:$A$93,Target!G$29:G$93,0,0)</f>
        <v>0</v>
      </c>
      <c r="H20" s="101">
        <f>Results!$D6*_xlfn.XLOOKUP(Results!$C6,Target!$A$29:$A$93,Target!H$29:H$93,0,0)+Results!$F6*_xlfn.XLOOKUP(Results!$E6,Target!$A$29:$A$93,Target!H$29:H$93,0,0)+Results!$H6*_xlfn.XLOOKUP(Results!$G6,Target!$A$29:$A$93,Target!H$29:H$93,0,0)</f>
        <v>0</v>
      </c>
      <c r="I20" s="101">
        <f>Results!$D6*_xlfn.XLOOKUP(Results!$C6,Target!$A$29:$A$93,Target!I$29:I$93,0,0)+Results!$F6*_xlfn.XLOOKUP(Results!$E6,Target!$A$29:$A$93,Target!I$29:I$93,0,0)+Results!$H6*_xlfn.XLOOKUP(Results!$G6,Target!$A$29:$A$93,Target!I$29:I$93,0,0)</f>
        <v>0</v>
      </c>
      <c r="J20" s="101">
        <f>Results!$D6*_xlfn.XLOOKUP(Results!$C6,Target!$A$29:$A$93,Target!J$29:J$93,0,0)+Results!$F6*_xlfn.XLOOKUP(Results!$E6,Target!$A$29:$A$93,Target!J$29:J$93,0,0)+Results!$H6*_xlfn.XLOOKUP(Results!$G6,Target!$A$29:$A$93,Target!J$29:J$93,0,0)</f>
        <v>0</v>
      </c>
      <c r="K20" s="101">
        <f>Results!$D6*_xlfn.XLOOKUP(Results!$C6,Target!$A$29:$A$93,Target!K$29:K$93,0,0)+Results!$F6*_xlfn.XLOOKUP(Results!$E6,Target!$A$29:$A$93,Target!K$29:K$93,0,0)+Results!$H6*_xlfn.XLOOKUP(Results!$G6,Target!$A$29:$A$93,Target!K$29:K$93,0,0)</f>
        <v>0</v>
      </c>
      <c r="L20" s="101">
        <f>Results!$D6*_xlfn.XLOOKUP(Results!$C6,Target!$A$29:$A$93,Target!L$29:L$93,0,0)+Results!$F6*_xlfn.XLOOKUP(Results!$E6,Target!$A$29:$A$93,Target!L$29:L$93,0,0)+Results!$H6*_xlfn.XLOOKUP(Results!$G6,Target!$A$29:$A$93,Target!L$29:L$93,0,0)</f>
        <v>0</v>
      </c>
      <c r="M20" s="101">
        <f>Results!$D6*_xlfn.XLOOKUP(Results!$C6,Target!$A$29:$A$93,Target!M$29:M$93,0,0)+Results!$F6*_xlfn.XLOOKUP(Results!$E6,Target!$A$29:$A$93,Target!M$29:M$93,0,0)+Results!$H6*_xlfn.XLOOKUP(Results!$G6,Target!$A$29:$A$93,Target!M$29:M$93,0,0)</f>
        <v>0</v>
      </c>
      <c r="N20" s="101">
        <f>Results!$D6*_xlfn.XLOOKUP(Results!$C6,Target!$A$29:$A$93,Target!N$29:N$93,0,0)+Results!$F6*_xlfn.XLOOKUP(Results!$E6,Target!$A$29:$A$93,Target!N$29:N$93,0,0)+Results!$H6*_xlfn.XLOOKUP(Results!$G6,Target!$A$29:$A$93,Target!N$29:N$93,0,0)</f>
        <v>0</v>
      </c>
      <c r="O20" s="101">
        <f>Results!$D6*_xlfn.XLOOKUP(Results!$C6,Target!$A$29:$A$93,Target!O$29:O$93,0,0)+Results!$F6*_xlfn.XLOOKUP(Results!$E6,Target!$A$29:$A$93,Target!O$29:O$93,0,0)+Results!$H6*_xlfn.XLOOKUP(Results!$G6,Target!$A$29:$A$93,Target!O$29:O$93,0,0)</f>
        <v>0</v>
      </c>
      <c r="P20" s="101">
        <f>Results!$D6*_xlfn.XLOOKUP(Results!$C6,Target!$A$29:$A$93,Target!P$29:P$93,0,0)+Results!$F6*_xlfn.XLOOKUP(Results!$E6,Target!$A$29:$A$93,Target!P$29:P$93,0,0)+Results!$H6*_xlfn.XLOOKUP(Results!$G6,Target!$A$29:$A$93,Target!P$29:P$93,0,0)</f>
        <v>0</v>
      </c>
      <c r="Q20" s="101">
        <f>Results!$D6*_xlfn.XLOOKUP(Results!$C6,Target!$A$29:$A$93,Target!Q$29:Q$93,0,0)+Results!$F6*_xlfn.XLOOKUP(Results!$E6,Target!$A$29:$A$93,Target!Q$29:Q$93,0,0)+Results!$H6*_xlfn.XLOOKUP(Results!$G6,Target!$A$29:$A$93,Target!Q$29:Q$93,0,0)</f>
        <v>0</v>
      </c>
      <c r="R20" s="101">
        <f>Results!$D6*_xlfn.XLOOKUP(Results!$C6,Target!$A$29:$A$93,Target!R$29:R$93,0,0)+Results!$F6*_xlfn.XLOOKUP(Results!$E6,Target!$A$29:$A$93,Target!R$29:R$93,0,0)+Results!$H6*_xlfn.XLOOKUP(Results!$G6,Target!$A$29:$A$93,Target!R$29:R$93,0,0)</f>
        <v>0</v>
      </c>
      <c r="S20" s="101">
        <f>Results!$D6*_xlfn.XLOOKUP(Results!$C6,Target!$A$29:$A$93,Target!S$29:S$93,0,0)+Results!$F6*_xlfn.XLOOKUP(Results!$E6,Target!$A$29:$A$93,Target!S$29:S$93,0,0)+Results!$H6*_xlfn.XLOOKUP(Results!$G6,Target!$A$29:$A$93,Target!S$29:S$93,0,0)</f>
        <v>0</v>
      </c>
      <c r="T20" s="101">
        <f>Results!$D6*_xlfn.XLOOKUP(Results!$C6,Target!$A$29:$A$93,Target!T$29:T$93,0,0)+Results!$F6*_xlfn.XLOOKUP(Results!$E6,Target!$A$29:$A$93,Target!T$29:T$93,0,0)+Results!$H6*_xlfn.XLOOKUP(Results!$G6,Target!$A$29:$A$93,Target!T$29:T$93,0,0)</f>
        <v>0</v>
      </c>
      <c r="U20" s="101">
        <f>Results!$D6*_xlfn.XLOOKUP(Results!$C6,Target!$A$29:$A$93,Target!U$29:U$93,0,0)+Results!$F6*_xlfn.XLOOKUP(Results!$E6,Target!$A$29:$A$93,Target!U$29:U$93,0,0)+Results!$H6*_xlfn.XLOOKUP(Results!$G6,Target!$A$29:$A$93,Target!U$29:U$93,0,0)</f>
        <v>0</v>
      </c>
      <c r="V20" s="101">
        <f>Results!$D6*_xlfn.XLOOKUP(Results!$C6,Target!$A$29:$A$93,Target!V$29:V$93,0,0)+Results!$F6*_xlfn.XLOOKUP(Results!$E6,Target!$A$29:$A$93,Target!V$29:V$93,0,0)+Results!$H6*_xlfn.XLOOKUP(Results!$G6,Target!$A$29:$A$93,Target!V$29:V$93,0,0)</f>
        <v>0</v>
      </c>
      <c r="W20" s="101">
        <f>Results!$D6*_xlfn.XLOOKUP(Results!$C6,Target!$A$29:$A$93,Target!W$29:W$93,0,0)+Results!$F6*_xlfn.XLOOKUP(Results!$E6,Target!$A$29:$A$93,Target!W$29:W$93,0,0)+Results!$H6*_xlfn.XLOOKUP(Results!$G6,Target!$A$29:$A$93,Target!W$29:W$93,0,0)</f>
        <v>0</v>
      </c>
    </row>
    <row r="21" spans="1:23" x14ac:dyDescent="0.3">
      <c r="A21" s="97" t="str">
        <v>Q</v>
      </c>
      <c r="B21" s="97">
        <v>0.93432246573169397</v>
      </c>
      <c r="C21" s="146">
        <f>Results!$D7*_xlfn.XLOOKUP(Results!$C7,Target!$A$29:$A$93,Target!C$29:C$93,0,0)+Results!$F7*_xlfn.XLOOKUP(Results!$E7,Target!$A$29:$A$93,Target!C$29:C$93,0,0)+Results!$H7*_xlfn.XLOOKUP(Results!$G7,Target!$A$29:$A$93,Target!C$29:C$93,0,0)</f>
        <v>16159.796078571057</v>
      </c>
      <c r="D21" s="146">
        <f>Results!$D7*_xlfn.XLOOKUP(Results!$C7,Target!$A$29:$A$93,Target!D$29:D$93,0,0)+Results!$F7*_xlfn.XLOOKUP(Results!$E7,Target!$A$29:$A$93,Target!D$29:D$93,0,0)+Results!$H7*_xlfn.XLOOKUP(Results!$G7,Target!$A$29:$A$93,Target!D$29:D$93,0,0)</f>
        <v>371.27148352483874</v>
      </c>
      <c r="E21" s="146">
        <f>Results!$D7*_xlfn.XLOOKUP(Results!$C7,Target!$A$29:$A$93,Target!E$29:E$93,0,0)+Results!$F7*_xlfn.XLOOKUP(Results!$E7,Target!$A$29:$A$93,Target!E$29:E$93,0,0)+Results!$H7*_xlfn.XLOOKUP(Results!$G7,Target!$A$29:$A$93,Target!E$29:E$93,0,0)</f>
        <v>1480.3101245367222</v>
      </c>
      <c r="F21" s="147">
        <f>Results!$D7*_xlfn.XLOOKUP(Results!$C7,Target!$A$29:$A$93,Target!F$29:F$93,0,0)+Results!$F7*_xlfn.XLOOKUP(Results!$E7,Target!$A$29:$A$93,Target!F$29:F$93,0,0)+Results!$H7*_xlfn.XLOOKUP(Results!$G7,Target!$A$29:$A$93,Target!F$29:F$93,0,0)</f>
        <v>11836.390994449395</v>
      </c>
      <c r="G21" s="101">
        <f>Results!$D7*_xlfn.XLOOKUP(Results!$C7,Target!$A$29:$A$93,Target!G$29:G$93,0,0)+Results!$F7*_xlfn.XLOOKUP(Results!$E7,Target!$A$29:$A$93,Target!G$29:G$93,0,0)+Results!$H7*_xlfn.XLOOKUP(Results!$G7,Target!$A$29:$A$93,Target!G$29:G$93,0,0)</f>
        <v>0</v>
      </c>
      <c r="H21" s="101">
        <f>Results!$D7*_xlfn.XLOOKUP(Results!$C7,Target!$A$29:$A$93,Target!H$29:H$93,0,0)+Results!$F7*_xlfn.XLOOKUP(Results!$E7,Target!$A$29:$A$93,Target!H$29:H$93,0,0)+Results!$H7*_xlfn.XLOOKUP(Results!$G7,Target!$A$29:$A$93,Target!H$29:H$93,0,0)</f>
        <v>0</v>
      </c>
      <c r="I21" s="101">
        <f>Results!$D7*_xlfn.XLOOKUP(Results!$C7,Target!$A$29:$A$93,Target!I$29:I$93,0,0)+Results!$F7*_xlfn.XLOOKUP(Results!$E7,Target!$A$29:$A$93,Target!I$29:I$93,0,0)+Results!$H7*_xlfn.XLOOKUP(Results!$G7,Target!$A$29:$A$93,Target!I$29:I$93,0,0)</f>
        <v>0</v>
      </c>
      <c r="J21" s="101">
        <f>Results!$D7*_xlfn.XLOOKUP(Results!$C7,Target!$A$29:$A$93,Target!J$29:J$93,0,0)+Results!$F7*_xlfn.XLOOKUP(Results!$E7,Target!$A$29:$A$93,Target!J$29:J$93,0,0)+Results!$H7*_xlfn.XLOOKUP(Results!$G7,Target!$A$29:$A$93,Target!J$29:J$93,0,0)</f>
        <v>0</v>
      </c>
      <c r="K21" s="101">
        <f>Results!$D7*_xlfn.XLOOKUP(Results!$C7,Target!$A$29:$A$93,Target!K$29:K$93,0,0)+Results!$F7*_xlfn.XLOOKUP(Results!$E7,Target!$A$29:$A$93,Target!K$29:K$93,0,0)+Results!$H7*_xlfn.XLOOKUP(Results!$G7,Target!$A$29:$A$93,Target!K$29:K$93,0,0)</f>
        <v>0</v>
      </c>
      <c r="L21" s="101">
        <f>Results!$D7*_xlfn.XLOOKUP(Results!$C7,Target!$A$29:$A$93,Target!L$29:L$93,0,0)+Results!$F7*_xlfn.XLOOKUP(Results!$E7,Target!$A$29:$A$93,Target!L$29:L$93,0,0)+Results!$H7*_xlfn.XLOOKUP(Results!$G7,Target!$A$29:$A$93,Target!L$29:L$93,0,0)</f>
        <v>0</v>
      </c>
      <c r="M21" s="101">
        <f>Results!$D7*_xlfn.XLOOKUP(Results!$C7,Target!$A$29:$A$93,Target!M$29:M$93,0,0)+Results!$F7*_xlfn.XLOOKUP(Results!$E7,Target!$A$29:$A$93,Target!M$29:M$93,0,0)+Results!$H7*_xlfn.XLOOKUP(Results!$G7,Target!$A$29:$A$93,Target!M$29:M$93,0,0)</f>
        <v>0</v>
      </c>
      <c r="N21" s="101">
        <f>Results!$D7*_xlfn.XLOOKUP(Results!$C7,Target!$A$29:$A$93,Target!N$29:N$93,0,0)+Results!$F7*_xlfn.XLOOKUP(Results!$E7,Target!$A$29:$A$93,Target!N$29:N$93,0,0)+Results!$H7*_xlfn.XLOOKUP(Results!$G7,Target!$A$29:$A$93,Target!N$29:N$93,0,0)</f>
        <v>0</v>
      </c>
      <c r="O21" s="101">
        <f>Results!$D7*_xlfn.XLOOKUP(Results!$C7,Target!$A$29:$A$93,Target!O$29:O$93,0,0)+Results!$F7*_xlfn.XLOOKUP(Results!$E7,Target!$A$29:$A$93,Target!O$29:O$93,0,0)+Results!$H7*_xlfn.XLOOKUP(Results!$G7,Target!$A$29:$A$93,Target!O$29:O$93,0,0)</f>
        <v>0</v>
      </c>
      <c r="P21" s="101">
        <f>Results!$D7*_xlfn.XLOOKUP(Results!$C7,Target!$A$29:$A$93,Target!P$29:P$93,0,0)+Results!$F7*_xlfn.XLOOKUP(Results!$E7,Target!$A$29:$A$93,Target!P$29:P$93,0,0)+Results!$H7*_xlfn.XLOOKUP(Results!$G7,Target!$A$29:$A$93,Target!P$29:P$93,0,0)</f>
        <v>0</v>
      </c>
      <c r="Q21" s="101">
        <f>Results!$D7*_xlfn.XLOOKUP(Results!$C7,Target!$A$29:$A$93,Target!Q$29:Q$93,0,0)+Results!$F7*_xlfn.XLOOKUP(Results!$E7,Target!$A$29:$A$93,Target!Q$29:Q$93,0,0)+Results!$H7*_xlfn.XLOOKUP(Results!$G7,Target!$A$29:$A$93,Target!Q$29:Q$93,0,0)</f>
        <v>0</v>
      </c>
      <c r="R21" s="101">
        <f>Results!$D7*_xlfn.XLOOKUP(Results!$C7,Target!$A$29:$A$93,Target!R$29:R$93,0,0)+Results!$F7*_xlfn.XLOOKUP(Results!$E7,Target!$A$29:$A$93,Target!R$29:R$93,0,0)+Results!$H7*_xlfn.XLOOKUP(Results!$G7,Target!$A$29:$A$93,Target!R$29:R$93,0,0)</f>
        <v>0</v>
      </c>
      <c r="S21" s="101">
        <f>Results!$D7*_xlfn.XLOOKUP(Results!$C7,Target!$A$29:$A$93,Target!S$29:S$93,0,0)+Results!$F7*_xlfn.XLOOKUP(Results!$E7,Target!$A$29:$A$93,Target!S$29:S$93,0,0)+Results!$H7*_xlfn.XLOOKUP(Results!$G7,Target!$A$29:$A$93,Target!S$29:S$93,0,0)</f>
        <v>0</v>
      </c>
      <c r="T21" s="101">
        <f>Results!$D7*_xlfn.XLOOKUP(Results!$C7,Target!$A$29:$A$93,Target!T$29:T$93,0,0)+Results!$F7*_xlfn.XLOOKUP(Results!$E7,Target!$A$29:$A$93,Target!T$29:T$93,0,0)+Results!$H7*_xlfn.XLOOKUP(Results!$G7,Target!$A$29:$A$93,Target!T$29:T$93,0,0)</f>
        <v>0</v>
      </c>
      <c r="U21" s="101">
        <f>Results!$D7*_xlfn.XLOOKUP(Results!$C7,Target!$A$29:$A$93,Target!U$29:U$93,0,0)+Results!$F7*_xlfn.XLOOKUP(Results!$E7,Target!$A$29:$A$93,Target!U$29:U$93,0,0)+Results!$H7*_xlfn.XLOOKUP(Results!$G7,Target!$A$29:$A$93,Target!U$29:U$93,0,0)</f>
        <v>0</v>
      </c>
      <c r="V21" s="101">
        <f>Results!$D7*_xlfn.XLOOKUP(Results!$C7,Target!$A$29:$A$93,Target!V$29:V$93,0,0)+Results!$F7*_xlfn.XLOOKUP(Results!$E7,Target!$A$29:$A$93,Target!V$29:V$93,0,0)+Results!$H7*_xlfn.XLOOKUP(Results!$G7,Target!$A$29:$A$93,Target!V$29:V$93,0,0)</f>
        <v>0</v>
      </c>
      <c r="W21" s="101">
        <f>Results!$D7*_xlfn.XLOOKUP(Results!$C7,Target!$A$29:$A$93,Target!W$29:W$93,0,0)+Results!$F7*_xlfn.XLOOKUP(Results!$E7,Target!$A$29:$A$93,Target!W$29:W$93,0,0)+Results!$H7*_xlfn.XLOOKUP(Results!$G7,Target!$A$29:$A$93,Target!W$29:W$93,0,0)</f>
        <v>0</v>
      </c>
    </row>
    <row r="22" spans="1:23" x14ac:dyDescent="0.3">
      <c r="A22" s="97" t="str">
        <v>Z</v>
      </c>
      <c r="B22" s="97">
        <v>0.99999999999999978</v>
      </c>
      <c r="C22" s="146">
        <f>Results!$D8*_xlfn.XLOOKUP(Results!$C8,Target!$A$29:$A$93,Target!C$29:C$93,0,0)+Results!$F8*_xlfn.XLOOKUP(Results!$E8,Target!$A$29:$A$93,Target!C$29:C$93,0,0)+Results!$H8*_xlfn.XLOOKUP(Results!$G8,Target!$A$29:$A$93,Target!C$29:C$93,0,0)</f>
        <v>16667.597709999853</v>
      </c>
      <c r="D22" s="146">
        <f>Results!$D8*_xlfn.XLOOKUP(Results!$C8,Target!$A$29:$A$93,Target!D$29:D$93,0,0)+Results!$F8*_xlfn.XLOOKUP(Results!$E8,Target!$A$29:$A$93,Target!D$29:D$93,0,0)+Results!$H8*_xlfn.XLOOKUP(Results!$G8,Target!$A$29:$A$93,Target!D$29:D$93,0,0)</f>
        <v>373.85537442078197</v>
      </c>
      <c r="E22" s="146">
        <f>Results!$D8*_xlfn.XLOOKUP(Results!$C8,Target!$A$29:$A$93,Target!E$29:E$93,0,0)+Results!$F8*_xlfn.XLOOKUP(Results!$E8,Target!$A$29:$A$93,Target!E$29:E$93,0,0)+Results!$H8*_xlfn.XLOOKUP(Results!$G8,Target!$A$29:$A$93,Target!E$29:E$93,0,0)</f>
        <v>1476.1021500887864</v>
      </c>
      <c r="F22" s="147">
        <f>Results!$D8*_xlfn.XLOOKUP(Results!$C8,Target!$A$29:$A$93,Target!F$29:F$93,0,0)+Results!$F8*_xlfn.XLOOKUP(Results!$E8,Target!$A$29:$A$93,Target!F$29:F$93,0,0)+Results!$H8*_xlfn.XLOOKUP(Results!$G8,Target!$A$29:$A$93,Target!F$29:F$93,0,0)</f>
        <v>13562.442801231638</v>
      </c>
      <c r="G22" s="101">
        <f>Results!$D8*_xlfn.XLOOKUP(Results!$C8,Target!$A$29:$A$93,Target!G$29:G$93,0,0)+Results!$F8*_xlfn.XLOOKUP(Results!$E8,Target!$A$29:$A$93,Target!G$29:G$93,0,0)+Results!$H8*_xlfn.XLOOKUP(Results!$G8,Target!$A$29:$A$93,Target!G$29:G$93,0,0)</f>
        <v>0</v>
      </c>
      <c r="H22" s="101">
        <f>Results!$D8*_xlfn.XLOOKUP(Results!$C8,Target!$A$29:$A$93,Target!H$29:H$93,0,0)+Results!$F8*_xlfn.XLOOKUP(Results!$E8,Target!$A$29:$A$93,Target!H$29:H$93,0,0)+Results!$H8*_xlfn.XLOOKUP(Results!$G8,Target!$A$29:$A$93,Target!H$29:H$93,0,0)</f>
        <v>0</v>
      </c>
      <c r="I22" s="101">
        <f>Results!$D8*_xlfn.XLOOKUP(Results!$C8,Target!$A$29:$A$93,Target!I$29:I$93,0,0)+Results!$F8*_xlfn.XLOOKUP(Results!$E8,Target!$A$29:$A$93,Target!I$29:I$93,0,0)+Results!$H8*_xlfn.XLOOKUP(Results!$G8,Target!$A$29:$A$93,Target!I$29:I$93,0,0)</f>
        <v>0</v>
      </c>
      <c r="J22" s="101">
        <f>Results!$D8*_xlfn.XLOOKUP(Results!$C8,Target!$A$29:$A$93,Target!J$29:J$93,0,0)+Results!$F8*_xlfn.XLOOKUP(Results!$E8,Target!$A$29:$A$93,Target!J$29:J$93,0,0)+Results!$H8*_xlfn.XLOOKUP(Results!$G8,Target!$A$29:$A$93,Target!J$29:J$93,0,0)</f>
        <v>0</v>
      </c>
      <c r="K22" s="101">
        <f>Results!$D8*_xlfn.XLOOKUP(Results!$C8,Target!$A$29:$A$93,Target!K$29:K$93,0,0)+Results!$F8*_xlfn.XLOOKUP(Results!$E8,Target!$A$29:$A$93,Target!K$29:K$93,0,0)+Results!$H8*_xlfn.XLOOKUP(Results!$G8,Target!$A$29:$A$93,Target!K$29:K$93,0,0)</f>
        <v>0</v>
      </c>
      <c r="L22" s="101">
        <f>Results!$D8*_xlfn.XLOOKUP(Results!$C8,Target!$A$29:$A$93,Target!L$29:L$93,0,0)+Results!$F8*_xlfn.XLOOKUP(Results!$E8,Target!$A$29:$A$93,Target!L$29:L$93,0,0)+Results!$H8*_xlfn.XLOOKUP(Results!$G8,Target!$A$29:$A$93,Target!L$29:L$93,0,0)</f>
        <v>0</v>
      </c>
      <c r="M22" s="101">
        <f>Results!$D8*_xlfn.XLOOKUP(Results!$C8,Target!$A$29:$A$93,Target!M$29:M$93,0,0)+Results!$F8*_xlfn.XLOOKUP(Results!$E8,Target!$A$29:$A$93,Target!M$29:M$93,0,0)+Results!$H8*_xlfn.XLOOKUP(Results!$G8,Target!$A$29:$A$93,Target!M$29:M$93,0,0)</f>
        <v>0</v>
      </c>
      <c r="N22" s="101">
        <f>Results!$D8*_xlfn.XLOOKUP(Results!$C8,Target!$A$29:$A$93,Target!N$29:N$93,0,0)+Results!$F8*_xlfn.XLOOKUP(Results!$E8,Target!$A$29:$A$93,Target!N$29:N$93,0,0)+Results!$H8*_xlfn.XLOOKUP(Results!$G8,Target!$A$29:$A$93,Target!N$29:N$93,0,0)</f>
        <v>0</v>
      </c>
      <c r="O22" s="101">
        <f>Results!$D8*_xlfn.XLOOKUP(Results!$C8,Target!$A$29:$A$93,Target!O$29:O$93,0,0)+Results!$F8*_xlfn.XLOOKUP(Results!$E8,Target!$A$29:$A$93,Target!O$29:O$93,0,0)+Results!$H8*_xlfn.XLOOKUP(Results!$G8,Target!$A$29:$A$93,Target!O$29:O$93,0,0)</f>
        <v>0</v>
      </c>
      <c r="P22" s="101">
        <f>Results!$D8*_xlfn.XLOOKUP(Results!$C8,Target!$A$29:$A$93,Target!P$29:P$93,0,0)+Results!$F8*_xlfn.XLOOKUP(Results!$E8,Target!$A$29:$A$93,Target!P$29:P$93,0,0)+Results!$H8*_xlfn.XLOOKUP(Results!$G8,Target!$A$29:$A$93,Target!P$29:P$93,0,0)</f>
        <v>0</v>
      </c>
      <c r="Q22" s="101">
        <f>Results!$D8*_xlfn.XLOOKUP(Results!$C8,Target!$A$29:$A$93,Target!Q$29:Q$93,0,0)+Results!$F8*_xlfn.XLOOKUP(Results!$E8,Target!$A$29:$A$93,Target!Q$29:Q$93,0,0)+Results!$H8*_xlfn.XLOOKUP(Results!$G8,Target!$A$29:$A$93,Target!Q$29:Q$93,0,0)</f>
        <v>0</v>
      </c>
      <c r="R22" s="101">
        <f>Results!$D8*_xlfn.XLOOKUP(Results!$C8,Target!$A$29:$A$93,Target!R$29:R$93,0,0)+Results!$F8*_xlfn.XLOOKUP(Results!$E8,Target!$A$29:$A$93,Target!R$29:R$93,0,0)+Results!$H8*_xlfn.XLOOKUP(Results!$G8,Target!$A$29:$A$93,Target!R$29:R$93,0,0)</f>
        <v>0</v>
      </c>
      <c r="S22" s="101">
        <f>Results!$D8*_xlfn.XLOOKUP(Results!$C8,Target!$A$29:$A$93,Target!S$29:S$93,0,0)+Results!$F8*_xlfn.XLOOKUP(Results!$E8,Target!$A$29:$A$93,Target!S$29:S$93,0,0)+Results!$H8*_xlfn.XLOOKUP(Results!$G8,Target!$A$29:$A$93,Target!S$29:S$93,0,0)</f>
        <v>0</v>
      </c>
      <c r="T22" s="101">
        <f>Results!$D8*_xlfn.XLOOKUP(Results!$C8,Target!$A$29:$A$93,Target!T$29:T$93,0,0)+Results!$F8*_xlfn.XLOOKUP(Results!$E8,Target!$A$29:$A$93,Target!T$29:T$93,0,0)+Results!$H8*_xlfn.XLOOKUP(Results!$G8,Target!$A$29:$A$93,Target!T$29:T$93,0,0)</f>
        <v>0</v>
      </c>
      <c r="U22" s="101">
        <f>Results!$D8*_xlfn.XLOOKUP(Results!$C8,Target!$A$29:$A$93,Target!U$29:U$93,0,0)+Results!$F8*_xlfn.XLOOKUP(Results!$E8,Target!$A$29:$A$93,Target!U$29:U$93,0,0)+Results!$H8*_xlfn.XLOOKUP(Results!$G8,Target!$A$29:$A$93,Target!U$29:U$93,0,0)</f>
        <v>0</v>
      </c>
      <c r="V22" s="101">
        <f>Results!$D8*_xlfn.XLOOKUP(Results!$C8,Target!$A$29:$A$93,Target!V$29:V$93,0,0)+Results!$F8*_xlfn.XLOOKUP(Results!$E8,Target!$A$29:$A$93,Target!V$29:V$93,0,0)+Results!$H8*_xlfn.XLOOKUP(Results!$G8,Target!$A$29:$A$93,Target!V$29:V$93,0,0)</f>
        <v>0</v>
      </c>
      <c r="W22" s="101">
        <f>Results!$D8*_xlfn.XLOOKUP(Results!$C8,Target!$A$29:$A$93,Target!W$29:W$93,0,0)+Results!$F8*_xlfn.XLOOKUP(Results!$E8,Target!$A$29:$A$93,Target!W$29:W$93,0,0)+Results!$H8*_xlfn.XLOOKUP(Results!$G8,Target!$A$29:$A$93,Target!W$29:W$93,0,0)</f>
        <v>0</v>
      </c>
    </row>
    <row r="23" spans="1:23" x14ac:dyDescent="0.3">
      <c r="A23" s="97"/>
      <c r="B23" s="97"/>
      <c r="C23" s="146">
        <f>Results!$D9*_xlfn.XLOOKUP(Results!$C9,Target!$A$29:$A$93,Target!C$29:C$93,0,0)+Results!$F9*_xlfn.XLOOKUP(Results!$E9,Target!$A$29:$A$93,Target!C$29:C$93,0,0)+Results!$H9*_xlfn.XLOOKUP(Results!$G9,Target!$A$29:$A$93,Target!C$29:C$93,0,0)</f>
        <v>0</v>
      </c>
      <c r="D23" s="146">
        <f>Results!$D9*_xlfn.XLOOKUP(Results!$C9,Target!$A$29:$A$93,Target!D$29:D$93,0,0)+Results!$F9*_xlfn.XLOOKUP(Results!$E9,Target!$A$29:$A$93,Target!D$29:D$93,0,0)+Results!$H9*_xlfn.XLOOKUP(Results!$G9,Target!$A$29:$A$93,Target!D$29:D$93,0,0)</f>
        <v>0</v>
      </c>
      <c r="E23" s="146">
        <f>Results!$D9*_xlfn.XLOOKUP(Results!$C9,Target!$A$29:$A$93,Target!E$29:E$93,0,0)+Results!$F9*_xlfn.XLOOKUP(Results!$E9,Target!$A$29:$A$93,Target!E$29:E$93,0,0)+Results!$H9*_xlfn.XLOOKUP(Results!$G9,Target!$A$29:$A$93,Target!E$29:E$93,0,0)</f>
        <v>0</v>
      </c>
      <c r="F23" s="147">
        <f>Results!$D9*_xlfn.XLOOKUP(Results!$C9,Target!$A$29:$A$93,Target!F$29:F$93,0,0)+Results!$F9*_xlfn.XLOOKUP(Results!$E9,Target!$A$29:$A$93,Target!F$29:F$93,0,0)+Results!$H9*_xlfn.XLOOKUP(Results!$G9,Target!$A$29:$A$93,Target!F$29:F$93,0,0)</f>
        <v>0</v>
      </c>
      <c r="G23" s="101">
        <f>Results!$D9*_xlfn.XLOOKUP(Results!$C9,Target!$A$29:$A$93,Target!G$29:G$93,0,0)+Results!$F9*_xlfn.XLOOKUP(Results!$E9,Target!$A$29:$A$93,Target!G$29:G$93,0,0)+Results!$H9*_xlfn.XLOOKUP(Results!$G9,Target!$A$29:$A$93,Target!G$29:G$93,0,0)</f>
        <v>0</v>
      </c>
      <c r="H23" s="101">
        <f>Results!$D9*_xlfn.XLOOKUP(Results!$C9,Target!$A$29:$A$93,Target!H$29:H$93,0,0)+Results!$F9*_xlfn.XLOOKUP(Results!$E9,Target!$A$29:$A$93,Target!H$29:H$93,0,0)+Results!$H9*_xlfn.XLOOKUP(Results!$G9,Target!$A$29:$A$93,Target!H$29:H$93,0,0)</f>
        <v>0</v>
      </c>
      <c r="I23" s="101">
        <f>Results!$D9*_xlfn.XLOOKUP(Results!$C9,Target!$A$29:$A$93,Target!I$29:I$93,0,0)+Results!$F9*_xlfn.XLOOKUP(Results!$E9,Target!$A$29:$A$93,Target!I$29:I$93,0,0)+Results!$H9*_xlfn.XLOOKUP(Results!$G9,Target!$A$29:$A$93,Target!I$29:I$93,0,0)</f>
        <v>0</v>
      </c>
      <c r="J23" s="101">
        <f>Results!$D9*_xlfn.XLOOKUP(Results!$C9,Target!$A$29:$A$93,Target!J$29:J$93,0,0)+Results!$F9*_xlfn.XLOOKUP(Results!$E9,Target!$A$29:$A$93,Target!J$29:J$93,0,0)+Results!$H9*_xlfn.XLOOKUP(Results!$G9,Target!$A$29:$A$93,Target!J$29:J$93,0,0)</f>
        <v>0</v>
      </c>
      <c r="K23" s="101">
        <f>Results!$D9*_xlfn.XLOOKUP(Results!$C9,Target!$A$29:$A$93,Target!K$29:K$93,0,0)+Results!$F9*_xlfn.XLOOKUP(Results!$E9,Target!$A$29:$A$93,Target!K$29:K$93,0,0)+Results!$H9*_xlfn.XLOOKUP(Results!$G9,Target!$A$29:$A$93,Target!K$29:K$93,0,0)</f>
        <v>0</v>
      </c>
      <c r="L23" s="101">
        <f>Results!$D9*_xlfn.XLOOKUP(Results!$C9,Target!$A$29:$A$93,Target!L$29:L$93,0,0)+Results!$F9*_xlfn.XLOOKUP(Results!$E9,Target!$A$29:$A$93,Target!L$29:L$93,0,0)+Results!$H9*_xlfn.XLOOKUP(Results!$G9,Target!$A$29:$A$93,Target!L$29:L$93,0,0)</f>
        <v>0</v>
      </c>
      <c r="M23" s="101">
        <f>Results!$D9*_xlfn.XLOOKUP(Results!$C9,Target!$A$29:$A$93,Target!M$29:M$93,0,0)+Results!$F9*_xlfn.XLOOKUP(Results!$E9,Target!$A$29:$A$93,Target!M$29:M$93,0,0)+Results!$H9*_xlfn.XLOOKUP(Results!$G9,Target!$A$29:$A$93,Target!M$29:M$93,0,0)</f>
        <v>0</v>
      </c>
      <c r="N23" s="101">
        <f>Results!$D9*_xlfn.XLOOKUP(Results!$C9,Target!$A$29:$A$93,Target!N$29:N$93,0,0)+Results!$F9*_xlfn.XLOOKUP(Results!$E9,Target!$A$29:$A$93,Target!N$29:N$93,0,0)+Results!$H9*_xlfn.XLOOKUP(Results!$G9,Target!$A$29:$A$93,Target!N$29:N$93,0,0)</f>
        <v>0</v>
      </c>
      <c r="O23" s="101">
        <f>Results!$D9*_xlfn.XLOOKUP(Results!$C9,Target!$A$29:$A$93,Target!O$29:O$93,0,0)+Results!$F9*_xlfn.XLOOKUP(Results!$E9,Target!$A$29:$A$93,Target!O$29:O$93,0,0)+Results!$H9*_xlfn.XLOOKUP(Results!$G9,Target!$A$29:$A$93,Target!O$29:O$93,0,0)</f>
        <v>0</v>
      </c>
      <c r="P23" s="101">
        <f>Results!$D9*_xlfn.XLOOKUP(Results!$C9,Target!$A$29:$A$93,Target!P$29:P$93,0,0)+Results!$F9*_xlfn.XLOOKUP(Results!$E9,Target!$A$29:$A$93,Target!P$29:P$93,0,0)+Results!$H9*_xlfn.XLOOKUP(Results!$G9,Target!$A$29:$A$93,Target!P$29:P$93,0,0)</f>
        <v>0</v>
      </c>
      <c r="Q23" s="101">
        <f>Results!$D9*_xlfn.XLOOKUP(Results!$C9,Target!$A$29:$A$93,Target!Q$29:Q$93,0,0)+Results!$F9*_xlfn.XLOOKUP(Results!$E9,Target!$A$29:$A$93,Target!Q$29:Q$93,0,0)+Results!$H9*_xlfn.XLOOKUP(Results!$G9,Target!$A$29:$A$93,Target!Q$29:Q$93,0,0)</f>
        <v>0</v>
      </c>
      <c r="R23" s="101">
        <f>Results!$D9*_xlfn.XLOOKUP(Results!$C9,Target!$A$29:$A$93,Target!R$29:R$93,0,0)+Results!$F9*_xlfn.XLOOKUP(Results!$E9,Target!$A$29:$A$93,Target!R$29:R$93,0,0)+Results!$H9*_xlfn.XLOOKUP(Results!$G9,Target!$A$29:$A$93,Target!R$29:R$93,0,0)</f>
        <v>0</v>
      </c>
      <c r="S23" s="101">
        <f>Results!$D9*_xlfn.XLOOKUP(Results!$C9,Target!$A$29:$A$93,Target!S$29:S$93,0,0)+Results!$F9*_xlfn.XLOOKUP(Results!$E9,Target!$A$29:$A$93,Target!S$29:S$93,0,0)+Results!$H9*_xlfn.XLOOKUP(Results!$G9,Target!$A$29:$A$93,Target!S$29:S$93,0,0)</f>
        <v>0</v>
      </c>
      <c r="T23" s="101">
        <f>Results!$D9*_xlfn.XLOOKUP(Results!$C9,Target!$A$29:$A$93,Target!T$29:T$93,0,0)+Results!$F9*_xlfn.XLOOKUP(Results!$E9,Target!$A$29:$A$93,Target!T$29:T$93,0,0)+Results!$H9*_xlfn.XLOOKUP(Results!$G9,Target!$A$29:$A$93,Target!T$29:T$93,0,0)</f>
        <v>0</v>
      </c>
      <c r="U23" s="101">
        <f>Results!$D9*_xlfn.XLOOKUP(Results!$C9,Target!$A$29:$A$93,Target!U$29:U$93,0,0)+Results!$F9*_xlfn.XLOOKUP(Results!$E9,Target!$A$29:$A$93,Target!U$29:U$93,0,0)+Results!$H9*_xlfn.XLOOKUP(Results!$G9,Target!$A$29:$A$93,Target!U$29:U$93,0,0)</f>
        <v>0</v>
      </c>
      <c r="V23" s="101">
        <f>Results!$D9*_xlfn.XLOOKUP(Results!$C9,Target!$A$29:$A$93,Target!V$29:V$93,0,0)+Results!$F9*_xlfn.XLOOKUP(Results!$E9,Target!$A$29:$A$93,Target!V$29:V$93,0,0)+Results!$H9*_xlfn.XLOOKUP(Results!$G9,Target!$A$29:$A$93,Target!V$29:V$93,0,0)</f>
        <v>0</v>
      </c>
      <c r="W23" s="101">
        <f>Results!$D9*_xlfn.XLOOKUP(Results!$C9,Target!$A$29:$A$93,Target!W$29:W$93,0,0)+Results!$F9*_xlfn.XLOOKUP(Results!$E9,Target!$A$29:$A$93,Target!W$29:W$93,0,0)+Results!$H9*_xlfn.XLOOKUP(Results!$G9,Target!$A$29:$A$93,Target!W$29:W$93,0,0)</f>
        <v>0</v>
      </c>
    </row>
    <row r="24" spans="1:23" x14ac:dyDescent="0.3">
      <c r="A24" s="97"/>
      <c r="B24" s="97"/>
      <c r="C24" s="146">
        <f>Results!$D10*_xlfn.XLOOKUP(Results!$C10,Target!$A$29:$A$93,Target!C$29:C$93,0,0)+Results!$F10*_xlfn.XLOOKUP(Results!$E10,Target!$A$29:$A$93,Target!C$29:C$93,0,0)+Results!$H10*_xlfn.XLOOKUP(Results!$G10,Target!$A$29:$A$93,Target!C$29:C$93,0,0)</f>
        <v>0</v>
      </c>
      <c r="D24" s="146">
        <f>Results!$D10*_xlfn.XLOOKUP(Results!$C10,Target!$A$29:$A$93,Target!D$29:D$93,0,0)+Results!$F10*_xlfn.XLOOKUP(Results!$E10,Target!$A$29:$A$93,Target!D$29:D$93,0,0)+Results!$H10*_xlfn.XLOOKUP(Results!$G10,Target!$A$29:$A$93,Target!D$29:D$93,0,0)</f>
        <v>0</v>
      </c>
      <c r="E24" s="146">
        <f>Results!$D10*_xlfn.XLOOKUP(Results!$C10,Target!$A$29:$A$93,Target!E$29:E$93,0,0)+Results!$F10*_xlfn.XLOOKUP(Results!$E10,Target!$A$29:$A$93,Target!E$29:E$93,0,0)+Results!$H10*_xlfn.XLOOKUP(Results!$G10,Target!$A$29:$A$93,Target!E$29:E$93,0,0)</f>
        <v>0</v>
      </c>
      <c r="F24" s="147">
        <f>Results!$D10*_xlfn.XLOOKUP(Results!$C10,Target!$A$29:$A$93,Target!F$29:F$93,0,0)+Results!$F10*_xlfn.XLOOKUP(Results!$E10,Target!$A$29:$A$93,Target!F$29:F$93,0,0)+Results!$H10*_xlfn.XLOOKUP(Results!$G10,Target!$A$29:$A$93,Target!F$29:F$93,0,0)</f>
        <v>0</v>
      </c>
      <c r="G24" s="101">
        <f>Results!$D10*_xlfn.XLOOKUP(Results!$C10,Target!$A$29:$A$93,Target!G$29:G$93,0,0)+Results!$F10*_xlfn.XLOOKUP(Results!$E10,Target!$A$29:$A$93,Target!G$29:G$93,0,0)+Results!$H10*_xlfn.XLOOKUP(Results!$G10,Target!$A$29:$A$93,Target!G$29:G$93,0,0)</f>
        <v>0</v>
      </c>
      <c r="H24" s="101">
        <f>Results!$D10*_xlfn.XLOOKUP(Results!$C10,Target!$A$29:$A$93,Target!H$29:H$93,0,0)+Results!$F10*_xlfn.XLOOKUP(Results!$E10,Target!$A$29:$A$93,Target!H$29:H$93,0,0)+Results!$H10*_xlfn.XLOOKUP(Results!$G10,Target!$A$29:$A$93,Target!H$29:H$93,0,0)</f>
        <v>0</v>
      </c>
      <c r="I24" s="101">
        <f>Results!$D10*_xlfn.XLOOKUP(Results!$C10,Target!$A$29:$A$93,Target!I$29:I$93,0,0)+Results!$F10*_xlfn.XLOOKUP(Results!$E10,Target!$A$29:$A$93,Target!I$29:I$93,0,0)+Results!$H10*_xlfn.XLOOKUP(Results!$G10,Target!$A$29:$A$93,Target!I$29:I$93,0,0)</f>
        <v>0</v>
      </c>
      <c r="J24" s="101">
        <f>Results!$D10*_xlfn.XLOOKUP(Results!$C10,Target!$A$29:$A$93,Target!J$29:J$93,0,0)+Results!$F10*_xlfn.XLOOKUP(Results!$E10,Target!$A$29:$A$93,Target!J$29:J$93,0,0)+Results!$H10*_xlfn.XLOOKUP(Results!$G10,Target!$A$29:$A$93,Target!J$29:J$93,0,0)</f>
        <v>0</v>
      </c>
      <c r="K24" s="101">
        <f>Results!$D10*_xlfn.XLOOKUP(Results!$C10,Target!$A$29:$A$93,Target!K$29:K$93,0,0)+Results!$F10*_xlfn.XLOOKUP(Results!$E10,Target!$A$29:$A$93,Target!K$29:K$93,0,0)+Results!$H10*_xlfn.XLOOKUP(Results!$G10,Target!$A$29:$A$93,Target!K$29:K$93,0,0)</f>
        <v>0</v>
      </c>
      <c r="L24" s="101">
        <f>Results!$D10*_xlfn.XLOOKUP(Results!$C10,Target!$A$29:$A$93,Target!L$29:L$93,0,0)+Results!$F10*_xlfn.XLOOKUP(Results!$E10,Target!$A$29:$A$93,Target!L$29:L$93,0,0)+Results!$H10*_xlfn.XLOOKUP(Results!$G10,Target!$A$29:$A$93,Target!L$29:L$93,0,0)</f>
        <v>0</v>
      </c>
      <c r="M24" s="101">
        <f>Results!$D10*_xlfn.XLOOKUP(Results!$C10,Target!$A$29:$A$93,Target!M$29:M$93,0,0)+Results!$F10*_xlfn.XLOOKUP(Results!$E10,Target!$A$29:$A$93,Target!M$29:M$93,0,0)+Results!$H10*_xlfn.XLOOKUP(Results!$G10,Target!$A$29:$A$93,Target!M$29:M$93,0,0)</f>
        <v>0</v>
      </c>
      <c r="N24" s="101">
        <f>Results!$D10*_xlfn.XLOOKUP(Results!$C10,Target!$A$29:$A$93,Target!N$29:N$93,0,0)+Results!$F10*_xlfn.XLOOKUP(Results!$E10,Target!$A$29:$A$93,Target!N$29:N$93,0,0)+Results!$H10*_xlfn.XLOOKUP(Results!$G10,Target!$A$29:$A$93,Target!N$29:N$93,0,0)</f>
        <v>0</v>
      </c>
      <c r="O24" s="101">
        <f>Results!$D10*_xlfn.XLOOKUP(Results!$C10,Target!$A$29:$A$93,Target!O$29:O$93,0,0)+Results!$F10*_xlfn.XLOOKUP(Results!$E10,Target!$A$29:$A$93,Target!O$29:O$93,0,0)+Results!$H10*_xlfn.XLOOKUP(Results!$G10,Target!$A$29:$A$93,Target!O$29:O$93,0,0)</f>
        <v>0</v>
      </c>
      <c r="P24" s="101">
        <f>Results!$D10*_xlfn.XLOOKUP(Results!$C10,Target!$A$29:$A$93,Target!P$29:P$93,0,0)+Results!$F10*_xlfn.XLOOKUP(Results!$E10,Target!$A$29:$A$93,Target!P$29:P$93,0,0)+Results!$H10*_xlfn.XLOOKUP(Results!$G10,Target!$A$29:$A$93,Target!P$29:P$93,0,0)</f>
        <v>0</v>
      </c>
      <c r="Q24" s="101">
        <f>Results!$D10*_xlfn.XLOOKUP(Results!$C10,Target!$A$29:$A$93,Target!Q$29:Q$93,0,0)+Results!$F10*_xlfn.XLOOKUP(Results!$E10,Target!$A$29:$A$93,Target!Q$29:Q$93,0,0)+Results!$H10*_xlfn.XLOOKUP(Results!$G10,Target!$A$29:$A$93,Target!Q$29:Q$93,0,0)</f>
        <v>0</v>
      </c>
      <c r="R24" s="101">
        <f>Results!$D10*_xlfn.XLOOKUP(Results!$C10,Target!$A$29:$A$93,Target!R$29:R$93,0,0)+Results!$F10*_xlfn.XLOOKUP(Results!$E10,Target!$A$29:$A$93,Target!R$29:R$93,0,0)+Results!$H10*_xlfn.XLOOKUP(Results!$G10,Target!$A$29:$A$93,Target!R$29:R$93,0,0)</f>
        <v>0</v>
      </c>
      <c r="S24" s="101">
        <f>Results!$D10*_xlfn.XLOOKUP(Results!$C10,Target!$A$29:$A$93,Target!S$29:S$93,0,0)+Results!$F10*_xlfn.XLOOKUP(Results!$E10,Target!$A$29:$A$93,Target!S$29:S$93,0,0)+Results!$H10*_xlfn.XLOOKUP(Results!$G10,Target!$A$29:$A$93,Target!S$29:S$93,0,0)</f>
        <v>0</v>
      </c>
      <c r="T24" s="101">
        <f>Results!$D10*_xlfn.XLOOKUP(Results!$C10,Target!$A$29:$A$93,Target!T$29:T$93,0,0)+Results!$F10*_xlfn.XLOOKUP(Results!$E10,Target!$A$29:$A$93,Target!T$29:T$93,0,0)+Results!$H10*_xlfn.XLOOKUP(Results!$G10,Target!$A$29:$A$93,Target!T$29:T$93,0,0)</f>
        <v>0</v>
      </c>
      <c r="U24" s="101">
        <f>Results!$D10*_xlfn.XLOOKUP(Results!$C10,Target!$A$29:$A$93,Target!U$29:U$93,0,0)+Results!$F10*_xlfn.XLOOKUP(Results!$E10,Target!$A$29:$A$93,Target!U$29:U$93,0,0)+Results!$H10*_xlfn.XLOOKUP(Results!$G10,Target!$A$29:$A$93,Target!U$29:U$93,0,0)</f>
        <v>0</v>
      </c>
      <c r="V24" s="101">
        <f>Results!$D10*_xlfn.XLOOKUP(Results!$C10,Target!$A$29:$A$93,Target!V$29:V$93,0,0)+Results!$F10*_xlfn.XLOOKUP(Results!$E10,Target!$A$29:$A$93,Target!V$29:V$93,0,0)+Results!$H10*_xlfn.XLOOKUP(Results!$G10,Target!$A$29:$A$93,Target!V$29:V$93,0,0)</f>
        <v>0</v>
      </c>
      <c r="W24" s="101">
        <f>Results!$D10*_xlfn.XLOOKUP(Results!$C10,Target!$A$29:$A$93,Target!W$29:W$93,0,0)+Results!$F10*_xlfn.XLOOKUP(Results!$E10,Target!$A$29:$A$93,Target!W$29:W$93,0,0)+Results!$H10*_xlfn.XLOOKUP(Results!$G10,Target!$A$29:$A$93,Target!W$29:W$93,0,0)</f>
        <v>0</v>
      </c>
    </row>
    <row r="25" spans="1:23" x14ac:dyDescent="0.3">
      <c r="A25" s="97"/>
      <c r="B25" s="97"/>
      <c r="C25" s="146">
        <f>Results!$D11*_xlfn.XLOOKUP(Results!$C11,Target!$A$29:$A$93,Target!C$29:C$93,0,0)+Results!$F11*_xlfn.XLOOKUP(Results!$E11,Target!$A$29:$A$93,Target!C$29:C$93,0,0)+Results!$H11*_xlfn.XLOOKUP(Results!$G11,Target!$A$29:$A$93,Target!C$29:C$93,0,0)</f>
        <v>0</v>
      </c>
      <c r="D25" s="146">
        <f>Results!$D11*_xlfn.XLOOKUP(Results!$C11,Target!$A$29:$A$93,Target!D$29:D$93,0,0)+Results!$F11*_xlfn.XLOOKUP(Results!$E11,Target!$A$29:$A$93,Target!D$29:D$93,0,0)+Results!$H11*_xlfn.XLOOKUP(Results!$G11,Target!$A$29:$A$93,Target!D$29:D$93,0,0)</f>
        <v>0</v>
      </c>
      <c r="E25" s="146">
        <f>Results!$D11*_xlfn.XLOOKUP(Results!$C11,Target!$A$29:$A$93,Target!E$29:E$93,0,0)+Results!$F11*_xlfn.XLOOKUP(Results!$E11,Target!$A$29:$A$93,Target!E$29:E$93,0,0)+Results!$H11*_xlfn.XLOOKUP(Results!$G11,Target!$A$29:$A$93,Target!E$29:E$93,0,0)</f>
        <v>0</v>
      </c>
      <c r="F25" s="147">
        <f>Results!$D11*_xlfn.XLOOKUP(Results!$C11,Target!$A$29:$A$93,Target!F$29:F$93,0,0)+Results!$F11*_xlfn.XLOOKUP(Results!$E11,Target!$A$29:$A$93,Target!F$29:F$93,0,0)+Results!$H11*_xlfn.XLOOKUP(Results!$G11,Target!$A$29:$A$93,Target!F$29:F$93,0,0)</f>
        <v>0</v>
      </c>
      <c r="G25" s="101">
        <f>Results!$D11*_xlfn.XLOOKUP(Results!$C11,Target!$A$29:$A$93,Target!G$29:G$93,0,0)+Results!$F11*_xlfn.XLOOKUP(Results!$E11,Target!$A$29:$A$93,Target!G$29:G$93,0,0)+Results!$H11*_xlfn.XLOOKUP(Results!$G11,Target!$A$29:$A$93,Target!G$29:G$93,0,0)</f>
        <v>0</v>
      </c>
      <c r="H25" s="101">
        <f>Results!$D11*_xlfn.XLOOKUP(Results!$C11,Target!$A$29:$A$93,Target!H$29:H$93,0,0)+Results!$F11*_xlfn.XLOOKUP(Results!$E11,Target!$A$29:$A$93,Target!H$29:H$93,0,0)+Results!$H11*_xlfn.XLOOKUP(Results!$G11,Target!$A$29:$A$93,Target!H$29:H$93,0,0)</f>
        <v>0</v>
      </c>
      <c r="I25" s="101">
        <f>Results!$D11*_xlfn.XLOOKUP(Results!$C11,Target!$A$29:$A$93,Target!I$29:I$93,0,0)+Results!$F11*_xlfn.XLOOKUP(Results!$E11,Target!$A$29:$A$93,Target!I$29:I$93,0,0)+Results!$H11*_xlfn.XLOOKUP(Results!$G11,Target!$A$29:$A$93,Target!I$29:I$93,0,0)</f>
        <v>0</v>
      </c>
      <c r="J25" s="101">
        <f>Results!$D11*_xlfn.XLOOKUP(Results!$C11,Target!$A$29:$A$93,Target!J$29:J$93,0,0)+Results!$F11*_xlfn.XLOOKUP(Results!$E11,Target!$A$29:$A$93,Target!J$29:J$93,0,0)+Results!$H11*_xlfn.XLOOKUP(Results!$G11,Target!$A$29:$A$93,Target!J$29:J$93,0,0)</f>
        <v>0</v>
      </c>
      <c r="K25" s="101">
        <f>Results!$D11*_xlfn.XLOOKUP(Results!$C11,Target!$A$29:$A$93,Target!K$29:K$93,0,0)+Results!$F11*_xlfn.XLOOKUP(Results!$E11,Target!$A$29:$A$93,Target!K$29:K$93,0,0)+Results!$H11*_xlfn.XLOOKUP(Results!$G11,Target!$A$29:$A$93,Target!K$29:K$93,0,0)</f>
        <v>0</v>
      </c>
      <c r="L25" s="101">
        <f>Results!$D11*_xlfn.XLOOKUP(Results!$C11,Target!$A$29:$A$93,Target!L$29:L$93,0,0)+Results!$F11*_xlfn.XLOOKUP(Results!$E11,Target!$A$29:$A$93,Target!L$29:L$93,0,0)+Results!$H11*_xlfn.XLOOKUP(Results!$G11,Target!$A$29:$A$93,Target!L$29:L$93,0,0)</f>
        <v>0</v>
      </c>
      <c r="M25" s="101">
        <f>Results!$D11*_xlfn.XLOOKUP(Results!$C11,Target!$A$29:$A$93,Target!M$29:M$93,0,0)+Results!$F11*_xlfn.XLOOKUP(Results!$E11,Target!$A$29:$A$93,Target!M$29:M$93,0,0)+Results!$H11*_xlfn.XLOOKUP(Results!$G11,Target!$A$29:$A$93,Target!M$29:M$93,0,0)</f>
        <v>0</v>
      </c>
      <c r="N25" s="101">
        <f>Results!$D11*_xlfn.XLOOKUP(Results!$C11,Target!$A$29:$A$93,Target!N$29:N$93,0,0)+Results!$F11*_xlfn.XLOOKUP(Results!$E11,Target!$A$29:$A$93,Target!N$29:N$93,0,0)+Results!$H11*_xlfn.XLOOKUP(Results!$G11,Target!$A$29:$A$93,Target!N$29:N$93,0,0)</f>
        <v>0</v>
      </c>
      <c r="O25" s="101">
        <f>Results!$D11*_xlfn.XLOOKUP(Results!$C11,Target!$A$29:$A$93,Target!O$29:O$93,0,0)+Results!$F11*_xlfn.XLOOKUP(Results!$E11,Target!$A$29:$A$93,Target!O$29:O$93,0,0)+Results!$H11*_xlfn.XLOOKUP(Results!$G11,Target!$A$29:$A$93,Target!O$29:O$93,0,0)</f>
        <v>0</v>
      </c>
      <c r="P25" s="101">
        <f>Results!$D11*_xlfn.XLOOKUP(Results!$C11,Target!$A$29:$A$93,Target!P$29:P$93,0,0)+Results!$F11*_xlfn.XLOOKUP(Results!$E11,Target!$A$29:$A$93,Target!P$29:P$93,0,0)+Results!$H11*_xlfn.XLOOKUP(Results!$G11,Target!$A$29:$A$93,Target!P$29:P$93,0,0)</f>
        <v>0</v>
      </c>
      <c r="Q25" s="101">
        <f>Results!$D11*_xlfn.XLOOKUP(Results!$C11,Target!$A$29:$A$93,Target!Q$29:Q$93,0,0)+Results!$F11*_xlfn.XLOOKUP(Results!$E11,Target!$A$29:$A$93,Target!Q$29:Q$93,0,0)+Results!$H11*_xlfn.XLOOKUP(Results!$G11,Target!$A$29:$A$93,Target!Q$29:Q$93,0,0)</f>
        <v>0</v>
      </c>
      <c r="R25" s="101">
        <f>Results!$D11*_xlfn.XLOOKUP(Results!$C11,Target!$A$29:$A$93,Target!R$29:R$93,0,0)+Results!$F11*_xlfn.XLOOKUP(Results!$E11,Target!$A$29:$A$93,Target!R$29:R$93,0,0)+Results!$H11*_xlfn.XLOOKUP(Results!$G11,Target!$A$29:$A$93,Target!R$29:R$93,0,0)</f>
        <v>0</v>
      </c>
      <c r="S25" s="101">
        <f>Results!$D11*_xlfn.XLOOKUP(Results!$C11,Target!$A$29:$A$93,Target!S$29:S$93,0,0)+Results!$F11*_xlfn.XLOOKUP(Results!$E11,Target!$A$29:$A$93,Target!S$29:S$93,0,0)+Results!$H11*_xlfn.XLOOKUP(Results!$G11,Target!$A$29:$A$93,Target!S$29:S$93,0,0)</f>
        <v>0</v>
      </c>
      <c r="T25" s="101">
        <f>Results!$D11*_xlfn.XLOOKUP(Results!$C11,Target!$A$29:$A$93,Target!T$29:T$93,0,0)+Results!$F11*_xlfn.XLOOKUP(Results!$E11,Target!$A$29:$A$93,Target!T$29:T$93,0,0)+Results!$H11*_xlfn.XLOOKUP(Results!$G11,Target!$A$29:$A$93,Target!T$29:T$93,0,0)</f>
        <v>0</v>
      </c>
      <c r="U25" s="101">
        <f>Results!$D11*_xlfn.XLOOKUP(Results!$C11,Target!$A$29:$A$93,Target!U$29:U$93,0,0)+Results!$F11*_xlfn.XLOOKUP(Results!$E11,Target!$A$29:$A$93,Target!U$29:U$93,0,0)+Results!$H11*_xlfn.XLOOKUP(Results!$G11,Target!$A$29:$A$93,Target!U$29:U$93,0,0)</f>
        <v>0</v>
      </c>
      <c r="V25" s="101">
        <f>Results!$D11*_xlfn.XLOOKUP(Results!$C11,Target!$A$29:$A$93,Target!V$29:V$93,0,0)+Results!$F11*_xlfn.XLOOKUP(Results!$E11,Target!$A$29:$A$93,Target!V$29:V$93,0,0)+Results!$H11*_xlfn.XLOOKUP(Results!$G11,Target!$A$29:$A$93,Target!V$29:V$93,0,0)</f>
        <v>0</v>
      </c>
      <c r="W25" s="101">
        <f>Results!$D11*_xlfn.XLOOKUP(Results!$C11,Target!$A$29:$A$93,Target!W$29:W$93,0,0)+Results!$F11*_xlfn.XLOOKUP(Results!$E11,Target!$A$29:$A$93,Target!W$29:W$93,0,0)+Results!$H11*_xlfn.XLOOKUP(Results!$G11,Target!$A$29:$A$93,Target!W$29:W$93,0,0)</f>
        <v>0</v>
      </c>
    </row>
    <row r="26" spans="1:23" x14ac:dyDescent="0.3">
      <c r="A26" s="97"/>
      <c r="B26" s="97"/>
      <c r="C26" s="146">
        <f>Results!$D12*_xlfn.XLOOKUP(Results!$C12,Target!$A$29:$A$93,Target!C$29:C$93,0,0)+Results!$F12*_xlfn.XLOOKUP(Results!$E12,Target!$A$29:$A$93,Target!C$29:C$93,0,0)+Results!$H12*_xlfn.XLOOKUP(Results!$G12,Target!$A$29:$A$93,Target!C$29:C$93,0,0)</f>
        <v>0</v>
      </c>
      <c r="D26" s="146">
        <f>Results!$D12*_xlfn.XLOOKUP(Results!$C12,Target!$A$29:$A$93,Target!D$29:D$93,0,0)+Results!$F12*_xlfn.XLOOKUP(Results!$E12,Target!$A$29:$A$93,Target!D$29:D$93,0,0)+Results!$H12*_xlfn.XLOOKUP(Results!$G12,Target!$A$29:$A$93,Target!D$29:D$93,0,0)</f>
        <v>0</v>
      </c>
      <c r="E26" s="146">
        <f>Results!$D12*_xlfn.XLOOKUP(Results!$C12,Target!$A$29:$A$93,Target!E$29:E$93,0,0)+Results!$F12*_xlfn.XLOOKUP(Results!$E12,Target!$A$29:$A$93,Target!E$29:E$93,0,0)+Results!$H12*_xlfn.XLOOKUP(Results!$G12,Target!$A$29:$A$93,Target!E$29:E$93,0,0)</f>
        <v>0</v>
      </c>
      <c r="F26" s="147">
        <f>Results!$D12*_xlfn.XLOOKUP(Results!$C12,Target!$A$29:$A$93,Target!F$29:F$93,0,0)+Results!$F12*_xlfn.XLOOKUP(Results!$E12,Target!$A$29:$A$93,Target!F$29:F$93,0,0)+Results!$H12*_xlfn.XLOOKUP(Results!$G12,Target!$A$29:$A$93,Target!F$29:F$93,0,0)</f>
        <v>0</v>
      </c>
      <c r="G26" s="101">
        <f>Results!$D12*_xlfn.XLOOKUP(Results!$C12,Target!$A$29:$A$93,Target!G$29:G$93,0,0)+Results!$F12*_xlfn.XLOOKUP(Results!$E12,Target!$A$29:$A$93,Target!G$29:G$93,0,0)+Results!$H12*_xlfn.XLOOKUP(Results!$G12,Target!$A$29:$A$93,Target!G$29:G$93,0,0)</f>
        <v>0</v>
      </c>
      <c r="H26" s="101">
        <f>Results!$D12*_xlfn.XLOOKUP(Results!$C12,Target!$A$29:$A$93,Target!H$29:H$93,0,0)+Results!$F12*_xlfn.XLOOKUP(Results!$E12,Target!$A$29:$A$93,Target!H$29:H$93,0,0)+Results!$H12*_xlfn.XLOOKUP(Results!$G12,Target!$A$29:$A$93,Target!H$29:H$93,0,0)</f>
        <v>0</v>
      </c>
      <c r="I26" s="101">
        <f>Results!$D12*_xlfn.XLOOKUP(Results!$C12,Target!$A$29:$A$93,Target!I$29:I$93,0,0)+Results!$F12*_xlfn.XLOOKUP(Results!$E12,Target!$A$29:$A$93,Target!I$29:I$93,0,0)+Results!$H12*_xlfn.XLOOKUP(Results!$G12,Target!$A$29:$A$93,Target!I$29:I$93,0,0)</f>
        <v>0</v>
      </c>
      <c r="J26" s="101">
        <f>Results!$D12*_xlfn.XLOOKUP(Results!$C12,Target!$A$29:$A$93,Target!J$29:J$93,0,0)+Results!$F12*_xlfn.XLOOKUP(Results!$E12,Target!$A$29:$A$93,Target!J$29:J$93,0,0)+Results!$H12*_xlfn.XLOOKUP(Results!$G12,Target!$A$29:$A$93,Target!J$29:J$93,0,0)</f>
        <v>0</v>
      </c>
      <c r="K26" s="101">
        <f>Results!$D12*_xlfn.XLOOKUP(Results!$C12,Target!$A$29:$A$93,Target!K$29:K$93,0,0)+Results!$F12*_xlfn.XLOOKUP(Results!$E12,Target!$A$29:$A$93,Target!K$29:K$93,0,0)+Results!$H12*_xlfn.XLOOKUP(Results!$G12,Target!$A$29:$A$93,Target!K$29:K$93,0,0)</f>
        <v>0</v>
      </c>
      <c r="L26" s="101">
        <f>Results!$D12*_xlfn.XLOOKUP(Results!$C12,Target!$A$29:$A$93,Target!L$29:L$93,0,0)+Results!$F12*_xlfn.XLOOKUP(Results!$E12,Target!$A$29:$A$93,Target!L$29:L$93,0,0)+Results!$H12*_xlfn.XLOOKUP(Results!$G12,Target!$A$29:$A$93,Target!L$29:L$93,0,0)</f>
        <v>0</v>
      </c>
      <c r="M26" s="101">
        <f>Results!$D12*_xlfn.XLOOKUP(Results!$C12,Target!$A$29:$A$93,Target!M$29:M$93,0,0)+Results!$F12*_xlfn.XLOOKUP(Results!$E12,Target!$A$29:$A$93,Target!M$29:M$93,0,0)+Results!$H12*_xlfn.XLOOKUP(Results!$G12,Target!$A$29:$A$93,Target!M$29:M$93,0,0)</f>
        <v>0</v>
      </c>
      <c r="N26" s="101">
        <f>Results!$D12*_xlfn.XLOOKUP(Results!$C12,Target!$A$29:$A$93,Target!N$29:N$93,0,0)+Results!$F12*_xlfn.XLOOKUP(Results!$E12,Target!$A$29:$A$93,Target!N$29:N$93,0,0)+Results!$H12*_xlfn.XLOOKUP(Results!$G12,Target!$A$29:$A$93,Target!N$29:N$93,0,0)</f>
        <v>0</v>
      </c>
      <c r="O26" s="101">
        <f>Results!$D12*_xlfn.XLOOKUP(Results!$C12,Target!$A$29:$A$93,Target!O$29:O$93,0,0)+Results!$F12*_xlfn.XLOOKUP(Results!$E12,Target!$A$29:$A$93,Target!O$29:O$93,0,0)+Results!$H12*_xlfn.XLOOKUP(Results!$G12,Target!$A$29:$A$93,Target!O$29:O$93,0,0)</f>
        <v>0</v>
      </c>
      <c r="P26" s="101">
        <f>Results!$D12*_xlfn.XLOOKUP(Results!$C12,Target!$A$29:$A$93,Target!P$29:P$93,0,0)+Results!$F12*_xlfn.XLOOKUP(Results!$E12,Target!$A$29:$A$93,Target!P$29:P$93,0,0)+Results!$H12*_xlfn.XLOOKUP(Results!$G12,Target!$A$29:$A$93,Target!P$29:P$93,0,0)</f>
        <v>0</v>
      </c>
      <c r="Q26" s="101">
        <f>Results!$D12*_xlfn.XLOOKUP(Results!$C12,Target!$A$29:$A$93,Target!Q$29:Q$93,0,0)+Results!$F12*_xlfn.XLOOKUP(Results!$E12,Target!$A$29:$A$93,Target!Q$29:Q$93,0,0)+Results!$H12*_xlfn.XLOOKUP(Results!$G12,Target!$A$29:$A$93,Target!Q$29:Q$93,0,0)</f>
        <v>0</v>
      </c>
      <c r="R26" s="101">
        <f>Results!$D12*_xlfn.XLOOKUP(Results!$C12,Target!$A$29:$A$93,Target!R$29:R$93,0,0)+Results!$F12*_xlfn.XLOOKUP(Results!$E12,Target!$A$29:$A$93,Target!R$29:R$93,0,0)+Results!$H12*_xlfn.XLOOKUP(Results!$G12,Target!$A$29:$A$93,Target!R$29:R$93,0,0)</f>
        <v>0</v>
      </c>
      <c r="S26" s="101">
        <f>Results!$D12*_xlfn.XLOOKUP(Results!$C12,Target!$A$29:$A$93,Target!S$29:S$93,0,0)+Results!$F12*_xlfn.XLOOKUP(Results!$E12,Target!$A$29:$A$93,Target!S$29:S$93,0,0)+Results!$H12*_xlfn.XLOOKUP(Results!$G12,Target!$A$29:$A$93,Target!S$29:S$93,0,0)</f>
        <v>0</v>
      </c>
      <c r="T26" s="101">
        <f>Results!$D12*_xlfn.XLOOKUP(Results!$C12,Target!$A$29:$A$93,Target!T$29:T$93,0,0)+Results!$F12*_xlfn.XLOOKUP(Results!$E12,Target!$A$29:$A$93,Target!T$29:T$93,0,0)+Results!$H12*_xlfn.XLOOKUP(Results!$G12,Target!$A$29:$A$93,Target!T$29:T$93,0,0)</f>
        <v>0</v>
      </c>
      <c r="U26" s="101">
        <f>Results!$D12*_xlfn.XLOOKUP(Results!$C12,Target!$A$29:$A$93,Target!U$29:U$93,0,0)+Results!$F12*_xlfn.XLOOKUP(Results!$E12,Target!$A$29:$A$93,Target!U$29:U$93,0,0)+Results!$H12*_xlfn.XLOOKUP(Results!$G12,Target!$A$29:$A$93,Target!U$29:U$93,0,0)</f>
        <v>0</v>
      </c>
      <c r="V26" s="101">
        <f>Results!$D12*_xlfn.XLOOKUP(Results!$C12,Target!$A$29:$A$93,Target!V$29:V$93,0,0)+Results!$F12*_xlfn.XLOOKUP(Results!$E12,Target!$A$29:$A$93,Target!V$29:V$93,0,0)+Results!$H12*_xlfn.XLOOKUP(Results!$G12,Target!$A$29:$A$93,Target!V$29:V$93,0,0)</f>
        <v>0</v>
      </c>
      <c r="W26" s="101">
        <f>Results!$D12*_xlfn.XLOOKUP(Results!$C12,Target!$A$29:$A$93,Target!W$29:W$93,0,0)+Results!$F12*_xlfn.XLOOKUP(Results!$E12,Target!$A$29:$A$93,Target!W$29:W$93,0,0)+Results!$H12*_xlfn.XLOOKUP(Results!$G12,Target!$A$29:$A$93,Target!W$29:W$93,0,0)</f>
        <v>0</v>
      </c>
    </row>
    <row r="27" spans="1:23" ht="16.2" thickBot="1" x14ac:dyDescent="0.35">
      <c r="A27" s="98"/>
      <c r="B27" s="98"/>
      <c r="C27" s="148">
        <f>Results!$D13*_xlfn.XLOOKUP(Results!$C13,Target!$A$29:$A$93,Target!C$29:C$93,0,0)+Results!$F13*_xlfn.XLOOKUP(Results!$E13,Target!$A$29:$A$93,Target!C$29:C$93,0,0)+Results!$H13*_xlfn.XLOOKUP(Results!$G13,Target!$A$29:$A$93,Target!C$29:C$93,0,0)</f>
        <v>0</v>
      </c>
      <c r="D27" s="148">
        <f>Results!$D13*_xlfn.XLOOKUP(Results!$C13,Target!$A$29:$A$93,Target!D$29:D$93,0,0)+Results!$F13*_xlfn.XLOOKUP(Results!$E13,Target!$A$29:$A$93,Target!D$29:D$93,0,0)+Results!$H13*_xlfn.XLOOKUP(Results!$G13,Target!$A$29:$A$93,Target!D$29:D$93,0,0)</f>
        <v>0</v>
      </c>
      <c r="E27" s="148">
        <f>Results!$D13*_xlfn.XLOOKUP(Results!$C13,Target!$A$29:$A$93,Target!E$29:E$93,0,0)+Results!$F13*_xlfn.XLOOKUP(Results!$E13,Target!$A$29:$A$93,Target!E$29:E$93,0,0)+Results!$H13*_xlfn.XLOOKUP(Results!$G13,Target!$A$29:$A$93,Target!E$29:E$93,0,0)</f>
        <v>0</v>
      </c>
      <c r="F27" s="149">
        <f>Results!$D13*_xlfn.XLOOKUP(Results!$C13,Target!$A$29:$A$93,Target!F$29:F$93,0,0)+Results!$F13*_xlfn.XLOOKUP(Results!$E13,Target!$A$29:$A$93,Target!F$29:F$93,0,0)+Results!$H13*_xlfn.XLOOKUP(Results!$G13,Target!$A$29:$A$93,Target!F$29:F$93,0,0)</f>
        <v>0</v>
      </c>
      <c r="G27" s="102">
        <f>Results!$D13*_xlfn.XLOOKUP(Results!$C13,Target!$A$29:$A$93,Target!G$29:G$93,0,0)+Results!$F13*_xlfn.XLOOKUP(Results!$E13,Target!$A$29:$A$93,Target!G$29:G$93,0,0)+Results!$H13*_xlfn.XLOOKUP(Results!$G13,Target!$A$29:$A$93,Target!G$29:G$93,0,0)</f>
        <v>0</v>
      </c>
      <c r="H27" s="102">
        <f>Results!$D13*_xlfn.XLOOKUP(Results!$C13,Target!$A$29:$A$93,Target!H$29:H$93,0,0)+Results!$F13*_xlfn.XLOOKUP(Results!$E13,Target!$A$29:$A$93,Target!H$29:H$93,0,0)+Results!$H13*_xlfn.XLOOKUP(Results!$G13,Target!$A$29:$A$93,Target!H$29:H$93,0,0)</f>
        <v>0</v>
      </c>
      <c r="I27" s="102">
        <f>Results!$D13*_xlfn.XLOOKUP(Results!$C13,Target!$A$29:$A$93,Target!I$29:I$93,0,0)+Results!$F13*_xlfn.XLOOKUP(Results!$E13,Target!$A$29:$A$93,Target!I$29:I$93,0,0)+Results!$H13*_xlfn.XLOOKUP(Results!$G13,Target!$A$29:$A$93,Target!I$29:I$93,0,0)</f>
        <v>0</v>
      </c>
      <c r="J27" s="102">
        <f>Results!$D13*_xlfn.XLOOKUP(Results!$C13,Target!$A$29:$A$93,Target!J$29:J$93,0,0)+Results!$F13*_xlfn.XLOOKUP(Results!$E13,Target!$A$29:$A$93,Target!J$29:J$93,0,0)+Results!$H13*_xlfn.XLOOKUP(Results!$G13,Target!$A$29:$A$93,Target!J$29:J$93,0,0)</f>
        <v>0</v>
      </c>
      <c r="K27" s="102">
        <f>Results!$D13*_xlfn.XLOOKUP(Results!$C13,Target!$A$29:$A$93,Target!K$29:K$93,0,0)+Results!$F13*_xlfn.XLOOKUP(Results!$E13,Target!$A$29:$A$93,Target!K$29:K$93,0,0)+Results!$H13*_xlfn.XLOOKUP(Results!$G13,Target!$A$29:$A$93,Target!K$29:K$93,0,0)</f>
        <v>0</v>
      </c>
      <c r="L27" s="102">
        <f>Results!$D13*_xlfn.XLOOKUP(Results!$C13,Target!$A$29:$A$93,Target!L$29:L$93,0,0)+Results!$F13*_xlfn.XLOOKUP(Results!$E13,Target!$A$29:$A$93,Target!L$29:L$93,0,0)+Results!$H13*_xlfn.XLOOKUP(Results!$G13,Target!$A$29:$A$93,Target!L$29:L$93,0,0)</f>
        <v>0</v>
      </c>
      <c r="M27" s="102">
        <f>Results!$D13*_xlfn.XLOOKUP(Results!$C13,Target!$A$29:$A$93,Target!M$29:M$93,0,0)+Results!$F13*_xlfn.XLOOKUP(Results!$E13,Target!$A$29:$A$93,Target!M$29:M$93,0,0)+Results!$H13*_xlfn.XLOOKUP(Results!$G13,Target!$A$29:$A$93,Target!M$29:M$93,0,0)</f>
        <v>0</v>
      </c>
      <c r="N27" s="102">
        <f>Results!$D13*_xlfn.XLOOKUP(Results!$C13,Target!$A$29:$A$93,Target!N$29:N$93,0,0)+Results!$F13*_xlfn.XLOOKUP(Results!$E13,Target!$A$29:$A$93,Target!N$29:N$93,0,0)+Results!$H13*_xlfn.XLOOKUP(Results!$G13,Target!$A$29:$A$93,Target!N$29:N$93,0,0)</f>
        <v>0</v>
      </c>
      <c r="O27" s="102">
        <f>Results!$D13*_xlfn.XLOOKUP(Results!$C13,Target!$A$29:$A$93,Target!O$29:O$93,0,0)+Results!$F13*_xlfn.XLOOKUP(Results!$E13,Target!$A$29:$A$93,Target!O$29:O$93,0,0)+Results!$H13*_xlfn.XLOOKUP(Results!$G13,Target!$A$29:$A$93,Target!O$29:O$93,0,0)</f>
        <v>0</v>
      </c>
      <c r="P27" s="102">
        <f>Results!$D13*_xlfn.XLOOKUP(Results!$C13,Target!$A$29:$A$93,Target!P$29:P$93,0,0)+Results!$F13*_xlfn.XLOOKUP(Results!$E13,Target!$A$29:$A$93,Target!P$29:P$93,0,0)+Results!$H13*_xlfn.XLOOKUP(Results!$G13,Target!$A$29:$A$93,Target!P$29:P$93,0,0)</f>
        <v>0</v>
      </c>
      <c r="Q27" s="102">
        <f>Results!$D13*_xlfn.XLOOKUP(Results!$C13,Target!$A$29:$A$93,Target!Q$29:Q$93,0,0)+Results!$F13*_xlfn.XLOOKUP(Results!$E13,Target!$A$29:$A$93,Target!Q$29:Q$93,0,0)+Results!$H13*_xlfn.XLOOKUP(Results!$G13,Target!$A$29:$A$93,Target!Q$29:Q$93,0,0)</f>
        <v>0</v>
      </c>
      <c r="R27" s="102">
        <f>Results!$D13*_xlfn.XLOOKUP(Results!$C13,Target!$A$29:$A$93,Target!R$29:R$93,0,0)+Results!$F13*_xlfn.XLOOKUP(Results!$E13,Target!$A$29:$A$93,Target!R$29:R$93,0,0)+Results!$H13*_xlfn.XLOOKUP(Results!$G13,Target!$A$29:$A$93,Target!R$29:R$93,0,0)</f>
        <v>0</v>
      </c>
      <c r="S27" s="102">
        <f>Results!$D13*_xlfn.XLOOKUP(Results!$C13,Target!$A$29:$A$93,Target!S$29:S$93,0,0)+Results!$F13*_xlfn.XLOOKUP(Results!$E13,Target!$A$29:$A$93,Target!S$29:S$93,0,0)+Results!$H13*_xlfn.XLOOKUP(Results!$G13,Target!$A$29:$A$93,Target!S$29:S$93,0,0)</f>
        <v>0</v>
      </c>
      <c r="T27" s="102">
        <f>Results!$D13*_xlfn.XLOOKUP(Results!$C13,Target!$A$29:$A$93,Target!T$29:T$93,0,0)+Results!$F13*_xlfn.XLOOKUP(Results!$E13,Target!$A$29:$A$93,Target!T$29:T$93,0,0)+Results!$H13*_xlfn.XLOOKUP(Results!$G13,Target!$A$29:$A$93,Target!T$29:T$93,0,0)</f>
        <v>0</v>
      </c>
      <c r="U27" s="102">
        <f>Results!$D13*_xlfn.XLOOKUP(Results!$C13,Target!$A$29:$A$93,Target!U$29:U$93,0,0)+Results!$F13*_xlfn.XLOOKUP(Results!$E13,Target!$A$29:$A$93,Target!U$29:U$93,0,0)+Results!$H13*_xlfn.XLOOKUP(Results!$G13,Target!$A$29:$A$93,Target!U$29:U$93,0,0)</f>
        <v>0</v>
      </c>
      <c r="V27" s="102">
        <f>Results!$D13*_xlfn.XLOOKUP(Results!$C13,Target!$A$29:$A$93,Target!V$29:V$93,0,0)+Results!$F13*_xlfn.XLOOKUP(Results!$E13,Target!$A$29:$A$93,Target!V$29:V$93,0,0)+Results!$H13*_xlfn.XLOOKUP(Results!$G13,Target!$A$29:$A$93,Target!V$29:V$93,0,0)</f>
        <v>0</v>
      </c>
      <c r="W27" s="102">
        <f>Results!$D13*_xlfn.XLOOKUP(Results!$C13,Target!$A$29:$A$93,Target!W$29:W$93,0,0)+Results!$F13*_xlfn.XLOOKUP(Results!$E13,Target!$A$29:$A$93,Target!W$29:W$93,0,0)+Results!$H13*_xlfn.XLOOKUP(Results!$G13,Target!$A$29:$A$93,Target!W$29:W$93,0,0)</f>
        <v>0</v>
      </c>
    </row>
    <row r="28" spans="1:23" x14ac:dyDescent="0.3">
      <c r="A28" s="211" t="s">
        <v>22</v>
      </c>
      <c r="B28" s="212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3"/>
    </row>
    <row r="29" spans="1:23" x14ac:dyDescent="0.3">
      <c r="A29" s="119" t="str" cm="1">
        <f t="array" ref="A29:A31">_xlfn._xlws.FILTER(_xlfn.UNIQUE(_xlfn.VSTACK(Results!C2:C99,Results!E2:E99)),_xlfn.UNIQUE(_xlfn.VSTACK(Results!C2:C99,Results!E2:E99))&lt;&gt;0)</f>
        <v>AB</v>
      </c>
      <c r="B29" s="122"/>
      <c r="C29" s="122">
        <f>IFERROR(INDEX('ORG-Metrics'!$A$1:$U$38,MATCH($A29,'ORG-Metrics'!$A$1:$A$38,0),MATCH(C$2,'ORG-Metrics'!$1:$1,0)),0)</f>
        <v>14201.23795490936</v>
      </c>
      <c r="D29" s="122">
        <f>IFERROR(INDEX('ORG-Metrics'!$A$1:$U$38,MATCH($A29,'ORG-Metrics'!$A$1:$A$38,0),MATCH(D$2,'ORG-Metrics'!$1:$1,0)),0)</f>
        <v>361.30558307929294</v>
      </c>
      <c r="E29" s="122">
        <f>IFERROR(INDEX('ORG-Metrics'!$A$1:$U$38,MATCH($A29,'ORG-Metrics'!$A$1:$A$38,0),MATCH(E$2,'ORG-Metrics'!$1:$1,0)),0)</f>
        <v>1496.5400104391686</v>
      </c>
      <c r="F29" s="122">
        <f>IFERROR(INDEX('ORG-Metrics'!$A$1:$U$38,MATCH($A29,'ORG-Metrics'!$A$1:$A$38,0),MATCH(F$2,'ORG-Metrics'!$1:$1,0)),0)</f>
        <v>5179.1205589007013</v>
      </c>
      <c r="G29" s="122">
        <f>IFERROR(INDEX('ORG-Metrics'!$A$1:$U$38,MATCH($A29,'ORG-Metrics'!$A$1:$A$38,0),MATCH(G$2,'ORG-Metrics'!$1:$1,0)),0)</f>
        <v>0</v>
      </c>
      <c r="H29" s="122">
        <f>IFERROR(INDEX('ORG-Metrics'!$A$1:$U$38,MATCH($A29,'ORG-Metrics'!$A$1:$A$38,0),MATCH(H$2,'ORG-Metrics'!$1:$1,0)),0)</f>
        <v>0</v>
      </c>
      <c r="I29" s="122">
        <f>IFERROR(INDEX('ORG-Metrics'!$A$1:$U$38,MATCH($A29,'ORG-Metrics'!$A$1:$A$38,0),MATCH(I$2,'ORG-Metrics'!$1:$1,0)),0)</f>
        <v>0</v>
      </c>
      <c r="J29" s="122">
        <f>IFERROR(INDEX('ORG-Metrics'!$A$1:$U$38,MATCH($A29,'ORG-Metrics'!$A$1:$A$38,0),MATCH(J$2,'ORG-Metrics'!$1:$1,0)),0)</f>
        <v>0</v>
      </c>
      <c r="K29" s="122">
        <f>IFERROR(INDEX('ORG-Metrics'!$A$1:$U$38,MATCH($A29,'ORG-Metrics'!$A$1:$A$38,0),MATCH(K$2,'ORG-Metrics'!$1:$1,0)),0)</f>
        <v>0</v>
      </c>
      <c r="L29" s="122">
        <f>IFERROR(INDEX('ORG-Metrics'!$A$1:$U$38,MATCH($A29,'ORG-Metrics'!$A$1:$A$38,0),MATCH(L$2,'ORG-Metrics'!$1:$1,0)),0)</f>
        <v>0</v>
      </c>
      <c r="M29" s="122">
        <f>IFERROR(INDEX('ORG-Metrics'!$A$1:$U$38,MATCH($A29,'ORG-Metrics'!$A$1:$A$38,0),MATCH(M$2,'ORG-Metrics'!$1:$1,0)),0)</f>
        <v>0</v>
      </c>
      <c r="N29" s="122">
        <f>IFERROR(INDEX('ORG-Metrics'!$A$1:$U$38,MATCH($A29,'ORG-Metrics'!$A$1:$A$38,0),MATCH(N$2,'ORG-Metrics'!$1:$1,0)),0)</f>
        <v>0</v>
      </c>
      <c r="O29" s="122">
        <f>IFERROR(INDEX('ORG-Metrics'!$A$1:$U$38,MATCH($A29,'ORG-Metrics'!$A$1:$A$38,0),MATCH(O$2,'ORG-Metrics'!$1:$1,0)),0)</f>
        <v>0</v>
      </c>
      <c r="P29" s="122">
        <f>IFERROR(INDEX('ORG-Metrics'!$A$1:$U$38,MATCH($A29,'ORG-Metrics'!$A$1:$A$38,0),MATCH(P$2,'ORG-Metrics'!$1:$1,0)),0)</f>
        <v>0</v>
      </c>
      <c r="Q29" s="122">
        <f>IFERROR(INDEX('ORG-Metrics'!$A$1:$U$38,MATCH($A29,'ORG-Metrics'!$A$1:$A$38,0),MATCH(Q$2,'ORG-Metrics'!$1:$1,0)),0)</f>
        <v>0</v>
      </c>
      <c r="R29" s="122">
        <f>IFERROR(INDEX('ORG-Metrics'!$A$1:$U$38,MATCH($A29,'ORG-Metrics'!$A$1:$A$38,0),MATCH(R$2,'ORG-Metrics'!$1:$1,0)),0)</f>
        <v>0</v>
      </c>
      <c r="S29" s="122">
        <f>IFERROR(INDEX('ORG-Metrics'!$A$1:$U$38,MATCH($A29,'ORG-Metrics'!$A$1:$A$38,0),MATCH(S$2,'ORG-Metrics'!$1:$1,0)),0)</f>
        <v>0</v>
      </c>
      <c r="T29" s="122">
        <f>IFERROR(INDEX('ORG-Metrics'!$A$1:$U$38,MATCH($A29,'ORG-Metrics'!$A$1:$A$38,0),MATCH(T$2,'ORG-Metrics'!$1:$1,0)),0)</f>
        <v>0</v>
      </c>
      <c r="U29" s="122">
        <f>IFERROR(INDEX('ORG-Metrics'!$A$1:$U$38,MATCH($A29,'ORG-Metrics'!$A$1:$A$38,0),MATCH(U$2,'ORG-Metrics'!$1:$1,0)),0)</f>
        <v>0</v>
      </c>
      <c r="V29" s="122">
        <f>IFERROR(INDEX('ORG-Metrics'!$A$1:$U$38,MATCH($A29,'ORG-Metrics'!$A$1:$A$38,0),MATCH(V$2,'ORG-Metrics'!$1:$1,0)),0)</f>
        <v>0</v>
      </c>
      <c r="W29" s="123">
        <f>IFERROR(INDEX('ORG-Metrics'!$A$1:$U$38,MATCH($A29,'ORG-Metrics'!$A$1:$A$38,0),MATCH(W$2,'ORG-Metrics'!$1:$1,0)),0)</f>
        <v>0</v>
      </c>
    </row>
    <row r="30" spans="1:23" x14ac:dyDescent="0.3">
      <c r="A30" s="110" t="str">
        <v>M</v>
      </c>
      <c r="B30" s="120"/>
      <c r="C30" s="120">
        <f>IFERROR(INDEX('ORG-Metrics'!$A$1:$U$38,MATCH($A30,'ORG-Metrics'!$A$1:$A$38,0),MATCH(C$2,'ORG-Metrics'!$1:$1,0)),0)</f>
        <v>14996.46722420484</v>
      </c>
      <c r="D30" s="120">
        <f>IFERROR(INDEX('ORG-Metrics'!$A$1:$U$38,MATCH($A30,'ORG-Metrics'!$A$1:$A$38,0),MATCH(D$2,'ORG-Metrics'!$1:$1,0)),0)</f>
        <v>277.66902672687809</v>
      </c>
      <c r="E30" s="120">
        <f>IFERROR(INDEX('ORG-Metrics'!$A$1:$U$38,MATCH($A30,'ORG-Metrics'!$A$1:$A$38,0),MATCH(E$2,'ORG-Metrics'!$1:$1,0)),0)</f>
        <v>1540.0653444097336</v>
      </c>
      <c r="F30" s="120">
        <f>IFERROR(INDEX('ORG-Metrics'!$A$1:$U$38,MATCH($A30,'ORG-Metrics'!$A$1:$A$38,0),MATCH(F$2,'ORG-Metrics'!$1:$1,0)),0)</f>
        <v>4130.4285130653825</v>
      </c>
      <c r="G30" s="120">
        <f>IFERROR(INDEX('ORG-Metrics'!$A$1:$U$38,MATCH($A30,'ORG-Metrics'!$A$1:$A$38,0),MATCH(G$2,'ORG-Metrics'!$1:$1,0)),0)</f>
        <v>0</v>
      </c>
      <c r="H30" s="120">
        <f>IFERROR(INDEX('ORG-Metrics'!$A$1:$U$38,MATCH($A30,'ORG-Metrics'!$A$1:$A$38,0),MATCH(H$2,'ORG-Metrics'!$1:$1,0)),0)</f>
        <v>0</v>
      </c>
      <c r="I30" s="120">
        <f>IFERROR(INDEX('ORG-Metrics'!$A$1:$U$38,MATCH($A30,'ORG-Metrics'!$A$1:$A$38,0),MATCH(I$2,'ORG-Metrics'!$1:$1,0)),0)</f>
        <v>0</v>
      </c>
      <c r="J30" s="120">
        <f>IFERROR(INDEX('ORG-Metrics'!$A$1:$U$38,MATCH($A30,'ORG-Metrics'!$A$1:$A$38,0),MATCH(J$2,'ORG-Metrics'!$1:$1,0)),0)</f>
        <v>0</v>
      </c>
      <c r="K30" s="120">
        <f>IFERROR(INDEX('ORG-Metrics'!$A$1:$U$38,MATCH($A30,'ORG-Metrics'!$A$1:$A$38,0),MATCH(K$2,'ORG-Metrics'!$1:$1,0)),0)</f>
        <v>0</v>
      </c>
      <c r="L30" s="120">
        <f>IFERROR(INDEX('ORG-Metrics'!$A$1:$U$38,MATCH($A30,'ORG-Metrics'!$A$1:$A$38,0),MATCH(L$2,'ORG-Metrics'!$1:$1,0)),0)</f>
        <v>0</v>
      </c>
      <c r="M30" s="120">
        <f>IFERROR(INDEX('ORG-Metrics'!$A$1:$U$38,MATCH($A30,'ORG-Metrics'!$A$1:$A$38,0),MATCH(M$2,'ORG-Metrics'!$1:$1,0)),0)</f>
        <v>0</v>
      </c>
      <c r="N30" s="120">
        <f>IFERROR(INDEX('ORG-Metrics'!$A$1:$U$38,MATCH($A30,'ORG-Metrics'!$A$1:$A$38,0),MATCH(N$2,'ORG-Metrics'!$1:$1,0)),0)</f>
        <v>0</v>
      </c>
      <c r="O30" s="120">
        <f>IFERROR(INDEX('ORG-Metrics'!$A$1:$U$38,MATCH($A30,'ORG-Metrics'!$A$1:$A$38,0),MATCH(O$2,'ORG-Metrics'!$1:$1,0)),0)</f>
        <v>0</v>
      </c>
      <c r="P30" s="120">
        <f>IFERROR(INDEX('ORG-Metrics'!$A$1:$U$38,MATCH($A30,'ORG-Metrics'!$A$1:$A$38,0),MATCH(P$2,'ORG-Metrics'!$1:$1,0)),0)</f>
        <v>0</v>
      </c>
      <c r="Q30" s="120">
        <f>IFERROR(INDEX('ORG-Metrics'!$A$1:$U$38,MATCH($A30,'ORG-Metrics'!$A$1:$A$38,0),MATCH(Q$2,'ORG-Metrics'!$1:$1,0)),0)</f>
        <v>0</v>
      </c>
      <c r="R30" s="120">
        <f>IFERROR(INDEX('ORG-Metrics'!$A$1:$U$38,MATCH($A30,'ORG-Metrics'!$A$1:$A$38,0),MATCH(R$2,'ORG-Metrics'!$1:$1,0)),0)</f>
        <v>0</v>
      </c>
      <c r="S30" s="120">
        <f>IFERROR(INDEX('ORG-Metrics'!$A$1:$U$38,MATCH($A30,'ORG-Metrics'!$A$1:$A$38,0),MATCH(S$2,'ORG-Metrics'!$1:$1,0)),0)</f>
        <v>0</v>
      </c>
      <c r="T30" s="120">
        <f>IFERROR(INDEX('ORG-Metrics'!$A$1:$U$38,MATCH($A30,'ORG-Metrics'!$A$1:$A$38,0),MATCH(T$2,'ORG-Metrics'!$1:$1,0)),0)</f>
        <v>0</v>
      </c>
      <c r="U30" s="120">
        <f>IFERROR(INDEX('ORG-Metrics'!$A$1:$U$38,MATCH($A30,'ORG-Metrics'!$A$1:$A$38,0),MATCH(U$2,'ORG-Metrics'!$1:$1,0)),0)</f>
        <v>0</v>
      </c>
      <c r="V30" s="120">
        <f>IFERROR(INDEX('ORG-Metrics'!$A$1:$U$38,MATCH($A30,'ORG-Metrics'!$A$1:$A$38,0),MATCH(V$2,'ORG-Metrics'!$1:$1,0)),0)</f>
        <v>0</v>
      </c>
      <c r="W30" s="121">
        <f>IFERROR(INDEX('ORG-Metrics'!$A$1:$U$38,MATCH($A30,'ORG-Metrics'!$A$1:$A$38,0),MATCH(W$2,'ORG-Metrics'!$1:$1,0)),0)</f>
        <v>0</v>
      </c>
    </row>
    <row r="31" spans="1:23" x14ac:dyDescent="0.3">
      <c r="A31" s="110" t="str">
        <v>Z</v>
      </c>
      <c r="B31" s="120"/>
      <c r="C31" s="120">
        <f>IFERROR(INDEX('ORG-Metrics'!$A$1:$U$38,MATCH($A31,'ORG-Metrics'!$A$1:$A$38,0),MATCH(C$2,'ORG-Metrics'!$1:$1,0)),0)</f>
        <v>16667.597709999853</v>
      </c>
      <c r="D31" s="120">
        <f>IFERROR(INDEX('ORG-Metrics'!$A$1:$U$38,MATCH($A31,'ORG-Metrics'!$A$1:$A$38,0),MATCH(D$2,'ORG-Metrics'!$1:$1,0)),0)</f>
        <v>373.85537442078197</v>
      </c>
      <c r="E31" s="120">
        <f>IFERROR(INDEX('ORG-Metrics'!$A$1:$U$38,MATCH($A31,'ORG-Metrics'!$A$1:$A$38,0),MATCH(E$2,'ORG-Metrics'!$1:$1,0)),0)</f>
        <v>1476.1021500887864</v>
      </c>
      <c r="F31" s="120">
        <f>IFERROR(INDEX('ORG-Metrics'!$A$1:$U$38,MATCH($A31,'ORG-Metrics'!$A$1:$A$38,0),MATCH(F$2,'ORG-Metrics'!$1:$1,0)),0)</f>
        <v>13562.442801231638</v>
      </c>
      <c r="G31" s="120">
        <f>IFERROR(INDEX('ORG-Metrics'!$A$1:$U$38,MATCH($A31,'ORG-Metrics'!$A$1:$A$38,0),MATCH(G$2,'ORG-Metrics'!$1:$1,0)),0)</f>
        <v>0</v>
      </c>
      <c r="H31" s="120">
        <f>IFERROR(INDEX('ORG-Metrics'!$A$1:$U$38,MATCH($A31,'ORG-Metrics'!$A$1:$A$38,0),MATCH(H$2,'ORG-Metrics'!$1:$1,0)),0)</f>
        <v>0</v>
      </c>
      <c r="I31" s="120">
        <f>IFERROR(INDEX('ORG-Metrics'!$A$1:$U$38,MATCH($A31,'ORG-Metrics'!$A$1:$A$38,0),MATCH(I$2,'ORG-Metrics'!$1:$1,0)),0)</f>
        <v>0</v>
      </c>
      <c r="J31" s="120">
        <f>IFERROR(INDEX('ORG-Metrics'!$A$1:$U$38,MATCH($A31,'ORG-Metrics'!$A$1:$A$38,0),MATCH(J$2,'ORG-Metrics'!$1:$1,0)),0)</f>
        <v>0</v>
      </c>
      <c r="K31" s="120">
        <f>IFERROR(INDEX('ORG-Metrics'!$A$1:$U$38,MATCH($A31,'ORG-Metrics'!$A$1:$A$38,0),MATCH(K$2,'ORG-Metrics'!$1:$1,0)),0)</f>
        <v>0</v>
      </c>
      <c r="L31" s="120">
        <f>IFERROR(INDEX('ORG-Metrics'!$A$1:$U$38,MATCH($A31,'ORG-Metrics'!$A$1:$A$38,0),MATCH(L$2,'ORG-Metrics'!$1:$1,0)),0)</f>
        <v>0</v>
      </c>
      <c r="M31" s="120">
        <f>IFERROR(INDEX('ORG-Metrics'!$A$1:$U$38,MATCH($A31,'ORG-Metrics'!$A$1:$A$38,0),MATCH(M$2,'ORG-Metrics'!$1:$1,0)),0)</f>
        <v>0</v>
      </c>
      <c r="N31" s="120">
        <f>IFERROR(INDEX('ORG-Metrics'!$A$1:$U$38,MATCH($A31,'ORG-Metrics'!$A$1:$A$38,0),MATCH(N$2,'ORG-Metrics'!$1:$1,0)),0)</f>
        <v>0</v>
      </c>
      <c r="O31" s="120">
        <f>IFERROR(INDEX('ORG-Metrics'!$A$1:$U$38,MATCH($A31,'ORG-Metrics'!$A$1:$A$38,0),MATCH(O$2,'ORG-Metrics'!$1:$1,0)),0)</f>
        <v>0</v>
      </c>
      <c r="P31" s="120">
        <f>IFERROR(INDEX('ORG-Metrics'!$A$1:$U$38,MATCH($A31,'ORG-Metrics'!$A$1:$A$38,0),MATCH(P$2,'ORG-Metrics'!$1:$1,0)),0)</f>
        <v>0</v>
      </c>
      <c r="Q31" s="120">
        <f>IFERROR(INDEX('ORG-Metrics'!$A$1:$U$38,MATCH($A31,'ORG-Metrics'!$A$1:$A$38,0),MATCH(Q$2,'ORG-Metrics'!$1:$1,0)),0)</f>
        <v>0</v>
      </c>
      <c r="R31" s="120">
        <f>IFERROR(INDEX('ORG-Metrics'!$A$1:$U$38,MATCH($A31,'ORG-Metrics'!$A$1:$A$38,0),MATCH(R$2,'ORG-Metrics'!$1:$1,0)),0)</f>
        <v>0</v>
      </c>
      <c r="S31" s="120">
        <f>IFERROR(INDEX('ORG-Metrics'!$A$1:$U$38,MATCH($A31,'ORG-Metrics'!$A$1:$A$38,0),MATCH(S$2,'ORG-Metrics'!$1:$1,0)),0)</f>
        <v>0</v>
      </c>
      <c r="T31" s="120">
        <f>IFERROR(INDEX('ORG-Metrics'!$A$1:$U$38,MATCH($A31,'ORG-Metrics'!$A$1:$A$38,0),MATCH(T$2,'ORG-Metrics'!$1:$1,0)),0)</f>
        <v>0</v>
      </c>
      <c r="U31" s="120">
        <f>IFERROR(INDEX('ORG-Metrics'!$A$1:$U$38,MATCH($A31,'ORG-Metrics'!$A$1:$A$38,0),MATCH(U$2,'ORG-Metrics'!$1:$1,0)),0)</f>
        <v>0</v>
      </c>
      <c r="V31" s="120">
        <f>IFERROR(INDEX('ORG-Metrics'!$A$1:$U$38,MATCH($A31,'ORG-Metrics'!$A$1:$A$38,0),MATCH(V$2,'ORG-Metrics'!$1:$1,0)),0)</f>
        <v>0</v>
      </c>
      <c r="W31" s="121">
        <f>IFERROR(INDEX('ORG-Metrics'!$A$1:$U$38,MATCH($A31,'ORG-Metrics'!$A$1:$A$38,0),MATCH(W$2,'ORG-Metrics'!$1:$1,0)),0)</f>
        <v>0</v>
      </c>
    </row>
    <row r="32" spans="1:23" x14ac:dyDescent="0.3">
      <c r="A32" s="110"/>
      <c r="B32" s="120"/>
      <c r="C32" s="120">
        <f>IFERROR(INDEX('ORG-Metrics'!$A$1:$U$38,MATCH($A32,'ORG-Metrics'!$A$1:$A$38,0),MATCH(C$2,'ORG-Metrics'!$1:$1,0)),0)</f>
        <v>0</v>
      </c>
      <c r="D32" s="120">
        <f>IFERROR(INDEX('ORG-Metrics'!$A$1:$U$38,MATCH($A32,'ORG-Metrics'!$A$1:$A$38,0),MATCH(D$2,'ORG-Metrics'!$1:$1,0)),0)</f>
        <v>0</v>
      </c>
      <c r="E32" s="120">
        <f>IFERROR(INDEX('ORG-Metrics'!$A$1:$U$38,MATCH($A32,'ORG-Metrics'!$A$1:$A$38,0),MATCH(E$2,'ORG-Metrics'!$1:$1,0)),0)</f>
        <v>0</v>
      </c>
      <c r="F32" s="120">
        <f>IFERROR(INDEX('ORG-Metrics'!$A$1:$U$38,MATCH($A32,'ORG-Metrics'!$A$1:$A$38,0),MATCH(F$2,'ORG-Metrics'!$1:$1,0)),0)</f>
        <v>0</v>
      </c>
      <c r="G32" s="120">
        <f>IFERROR(INDEX('ORG-Metrics'!$A$1:$U$38,MATCH($A32,'ORG-Metrics'!$A$1:$A$38,0),MATCH(G$2,'ORG-Metrics'!$1:$1,0)),0)</f>
        <v>0</v>
      </c>
      <c r="H32" s="120">
        <f>IFERROR(INDEX('ORG-Metrics'!$A$1:$U$38,MATCH($A32,'ORG-Metrics'!$A$1:$A$38,0),MATCH(H$2,'ORG-Metrics'!$1:$1,0)),0)</f>
        <v>0</v>
      </c>
      <c r="I32" s="120">
        <f>IFERROR(INDEX('ORG-Metrics'!$A$1:$U$38,MATCH($A32,'ORG-Metrics'!$A$1:$A$38,0),MATCH(I$2,'ORG-Metrics'!$1:$1,0)),0)</f>
        <v>0</v>
      </c>
      <c r="J32" s="120">
        <f>IFERROR(INDEX('ORG-Metrics'!$A$1:$U$38,MATCH($A32,'ORG-Metrics'!$A$1:$A$38,0),MATCH(J$2,'ORG-Metrics'!$1:$1,0)),0)</f>
        <v>0</v>
      </c>
      <c r="K32" s="120">
        <f>IFERROR(INDEX('ORG-Metrics'!$A$1:$U$38,MATCH($A32,'ORG-Metrics'!$A$1:$A$38,0),MATCH(K$2,'ORG-Metrics'!$1:$1,0)),0)</f>
        <v>0</v>
      </c>
      <c r="L32" s="120">
        <f>IFERROR(INDEX('ORG-Metrics'!$A$1:$U$38,MATCH($A32,'ORG-Metrics'!$A$1:$A$38,0),MATCH(L$2,'ORG-Metrics'!$1:$1,0)),0)</f>
        <v>0</v>
      </c>
      <c r="M32" s="120">
        <f>IFERROR(INDEX('ORG-Metrics'!$A$1:$U$38,MATCH($A32,'ORG-Metrics'!$A$1:$A$38,0),MATCH(M$2,'ORG-Metrics'!$1:$1,0)),0)</f>
        <v>0</v>
      </c>
      <c r="N32" s="120">
        <f>IFERROR(INDEX('ORG-Metrics'!$A$1:$U$38,MATCH($A32,'ORG-Metrics'!$A$1:$A$38,0),MATCH(N$2,'ORG-Metrics'!$1:$1,0)),0)</f>
        <v>0</v>
      </c>
      <c r="O32" s="120">
        <f>IFERROR(INDEX('ORG-Metrics'!$A$1:$U$38,MATCH($A32,'ORG-Metrics'!$A$1:$A$38,0),MATCH(O$2,'ORG-Metrics'!$1:$1,0)),0)</f>
        <v>0</v>
      </c>
      <c r="P32" s="120">
        <f>IFERROR(INDEX('ORG-Metrics'!$A$1:$U$38,MATCH($A32,'ORG-Metrics'!$A$1:$A$38,0),MATCH(P$2,'ORG-Metrics'!$1:$1,0)),0)</f>
        <v>0</v>
      </c>
      <c r="Q32" s="120">
        <f>IFERROR(INDEX('ORG-Metrics'!$A$1:$U$38,MATCH($A32,'ORG-Metrics'!$A$1:$A$38,0),MATCH(Q$2,'ORG-Metrics'!$1:$1,0)),0)</f>
        <v>0</v>
      </c>
      <c r="R32" s="120">
        <f>IFERROR(INDEX('ORG-Metrics'!$A$1:$U$38,MATCH($A32,'ORG-Metrics'!$A$1:$A$38,0),MATCH(R$2,'ORG-Metrics'!$1:$1,0)),0)</f>
        <v>0</v>
      </c>
      <c r="S32" s="120">
        <f>IFERROR(INDEX('ORG-Metrics'!$A$1:$U$38,MATCH($A32,'ORG-Metrics'!$A$1:$A$38,0),MATCH(S$2,'ORG-Metrics'!$1:$1,0)),0)</f>
        <v>0</v>
      </c>
      <c r="T32" s="120">
        <f>IFERROR(INDEX('ORG-Metrics'!$A$1:$U$38,MATCH($A32,'ORG-Metrics'!$A$1:$A$38,0),MATCH(T$2,'ORG-Metrics'!$1:$1,0)),0)</f>
        <v>0</v>
      </c>
      <c r="U32" s="120">
        <f>IFERROR(INDEX('ORG-Metrics'!$A$1:$U$38,MATCH($A32,'ORG-Metrics'!$A$1:$A$38,0),MATCH(U$2,'ORG-Metrics'!$1:$1,0)),0)</f>
        <v>0</v>
      </c>
      <c r="V32" s="120">
        <f>IFERROR(INDEX('ORG-Metrics'!$A$1:$U$38,MATCH($A32,'ORG-Metrics'!$A$1:$A$38,0),MATCH(V$2,'ORG-Metrics'!$1:$1,0)),0)</f>
        <v>0</v>
      </c>
      <c r="W32" s="121">
        <f>IFERROR(INDEX('ORG-Metrics'!$A$1:$U$38,MATCH($A32,'ORG-Metrics'!$A$1:$A$38,0),MATCH(W$2,'ORG-Metrics'!$1:$1,0)),0)</f>
        <v>0</v>
      </c>
    </row>
  </sheetData>
  <mergeCells count="3">
    <mergeCell ref="A14:W14"/>
    <mergeCell ref="A1:W1"/>
    <mergeCell ref="A28:W28"/>
  </mergeCells>
  <conditionalFormatting sqref="C3:W13">
    <cfRule type="expression" dxfId="2" priority="5">
      <formula>NOT(C3=C16)</formula>
    </cfRule>
  </conditionalFormatting>
  <conditionalFormatting sqref="A1:XFD1048576">
    <cfRule type="cellIs" dxfId="1" priority="4" operator="equal">
      <formula>0</formula>
    </cfRule>
  </conditionalFormatting>
  <conditionalFormatting sqref="C16:W27">
    <cfRule type="expression" dxfId="0" priority="3">
      <formula>NOT(C16=C3)</formula>
    </cfRule>
  </conditionalFormatting>
  <conditionalFormatting sqref="B2:B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2822F-4B6E-4793-9EB7-AA13C85C5589}">
  <sheetPr codeName="Sheet6"/>
  <dimension ref="A1:W63"/>
  <sheetViews>
    <sheetView workbookViewId="0">
      <selection activeCell="C27" sqref="C27"/>
    </sheetView>
  </sheetViews>
  <sheetFormatPr defaultColWidth="8.8984375" defaultRowHeight="15.6" x14ac:dyDescent="0.3"/>
  <cols>
    <col min="1" max="1" width="36.09765625" customWidth="1"/>
    <col min="2" max="2" width="8.3984375" customWidth="1"/>
    <col min="3" max="3" width="15.09765625" bestFit="1" customWidth="1"/>
    <col min="4" max="4" width="17.59765625" bestFit="1" customWidth="1"/>
    <col min="5" max="5" width="23.59765625" customWidth="1"/>
    <col min="6" max="6" width="30" bestFit="1" customWidth="1"/>
    <col min="13" max="13" width="24.59765625" bestFit="1" customWidth="1"/>
    <col min="14" max="14" width="15.3984375" bestFit="1" customWidth="1"/>
    <col min="15" max="15" width="24.5" bestFit="1" customWidth="1"/>
    <col min="16" max="16" width="15.09765625" bestFit="1" customWidth="1"/>
    <col min="17" max="17" width="30" bestFit="1" customWidth="1"/>
  </cols>
  <sheetData>
    <row r="1" spans="1:23" ht="16.2" thickBot="1" x14ac:dyDescent="0.35">
      <c r="A1" s="14" t="s">
        <v>30</v>
      </c>
      <c r="C1" t="s">
        <v>31</v>
      </c>
      <c r="D1" t="str" cm="1">
        <f t="array" ref="D1:E1">_xlfn._xlws.FILTER(TRANSPOSE(A2:A21),TRANSPOSE(A2:A21)&lt;&gt;0)</f>
        <v>Surgical Cases</v>
      </c>
      <c r="E1" t="str">
        <v>Hip Fracture Cases</v>
      </c>
    </row>
    <row r="2" spans="1:23" x14ac:dyDescent="0.3">
      <c r="A2" s="15" t="str" cm="1">
        <f t="array" ref="A2:A3">_xlfn._xlws.FILTER(Selector!I3:I23,Selector!K3:K23=TRUE)</f>
        <v>Surgical Cases</v>
      </c>
      <c r="C2" t="str" cm="1">
        <f t="array" ref="C2:C8">_xlfn._xlws.FILTER(_xlfn._xlws.FILTER(_xlfn.VSTACK(_xlfn._xlws.FILTER(Selector!M3:M23,Selector!O3:O23=TRUE,""),_xlfn._xlws.FILTER(Selector!Q3:Q23,Selector!S3:S23=TRUE,"")),_xlfn.VSTACK(_xlfn._xlws.FILTER(Selector!M3:M23,Selector!O3:O23=TRUE,""),_xlfn._xlws.FILTER(Selector!Q3:Q23,Selector!S3:S23=TRUE,""))&lt;&gt;""),_xlfn._xlws.FILTER(_xlfn.VSTACK(_xlfn._xlws.FILTER(Selector!M3:M23,Selector!O3:O23=TRUE,""),_xlfn._xlws.FILTER(Selector!Q3:Q23,Selector!S3:S23=TRUE,"")),_xlfn.VSTACK(_xlfn._xlws.FILTER(Selector!M3:M23,Selector!O3:O23=TRUE,""),_xlfn._xlws.FILTER(Selector!Q3:Q23,Selector!S3:S23=TRUE,""))&lt;&gt;"")&lt;&gt;0)</f>
        <v>AB</v>
      </c>
      <c r="D2" s="21">
        <f>IFERROR(INDEX('ORG-Metrics'!$A$1:$U$38,MATCH($C2,'ORG-Metrics'!$A$1:$A$38,0),MATCH(D$1,'ORG-Metrics'!$1:$1,0)),"")</f>
        <v>14201.23795490936</v>
      </c>
      <c r="E2" s="21">
        <f>IFERROR(INDEX('ORG-Metrics'!$A$1:$U$38,MATCH($C2,'ORG-Metrics'!$A$1:$A$38,0),MATCH(E$1,'ORG-Metrics'!$1:$1,0)),"")</f>
        <v>361.30558307929294</v>
      </c>
      <c r="F2" s="21" t="str">
        <f>IFERROR(INDEX('ORG-Metrics'!$A$1:$U$38,MATCH($C2,'ORG-Metrics'!$A$1:$A$38,0),MATCH(F$1,'ORG-Metrics'!$1:$1,0)),"")</f>
        <v/>
      </c>
      <c r="G2" s="21" t="str">
        <f>IFERROR(INDEX('ORG-Metrics'!$A$1:$U$38,MATCH($C2,'ORG-Metrics'!$A$1:$A$38,0),MATCH(G$1,'ORG-Metrics'!$1:$1,0)),"")</f>
        <v/>
      </c>
      <c r="H2" s="21" t="str">
        <f>IFERROR(INDEX('ORG-Metrics'!$A$1:$U$38,MATCH($C2,'ORG-Metrics'!$A$1:$A$38,0),MATCH(H$1,'ORG-Metrics'!$1:$1,0)),"")</f>
        <v/>
      </c>
      <c r="I2" s="21" t="str">
        <f>IFERROR(INDEX('ORG-Metrics'!$A$1:$U$38,MATCH($C2,'ORG-Metrics'!$A$1:$A$38,0),MATCH(I$1,'ORG-Metrics'!$1:$1,0)),"")</f>
        <v/>
      </c>
      <c r="J2" s="21" t="str">
        <f>IFERROR(INDEX('ORG-Metrics'!$A$1:$U$38,MATCH($C2,'ORG-Metrics'!$A$1:$A$38,0),MATCH(J$1,'ORG-Metrics'!$1:$1,0)),"")</f>
        <v/>
      </c>
      <c r="K2" s="21" t="str">
        <f>IFERROR(INDEX('ORG-Metrics'!$A$1:$U$38,MATCH($C2,'ORG-Metrics'!$A$1:$A$38,0),MATCH(K$1,'ORG-Metrics'!$1:$1,0)),"")</f>
        <v/>
      </c>
      <c r="L2" s="21" t="str">
        <f>IFERROR(INDEX('ORG-Metrics'!$A$1:$U$38,MATCH($C2,'ORG-Metrics'!$A$1:$A$38,0),MATCH(L$1,'ORG-Metrics'!$1:$1,0)),"")</f>
        <v/>
      </c>
      <c r="M2" s="21" t="str">
        <f>IFERROR(INDEX('ORG-Metrics'!$A$1:$U$38,MATCH($C2,'ORG-Metrics'!$A$1:$A$38,0),MATCH(M$1,'ORG-Metrics'!$1:$1,0)),"")</f>
        <v/>
      </c>
      <c r="N2" s="21" t="str">
        <f>IFERROR(INDEX('ORG-Metrics'!$A$1:$U$38,MATCH($C2,'ORG-Metrics'!$A$1:$A$38,0),MATCH(N$1,'ORG-Metrics'!$1:$1,0)),"")</f>
        <v/>
      </c>
      <c r="O2" s="21" t="str">
        <f>IFERROR(INDEX('ORG-Metrics'!$A$1:$U$38,MATCH($C2,'ORG-Metrics'!$A$1:$A$38,0),MATCH(O$1,'ORG-Metrics'!$1:$1,0)),"")</f>
        <v/>
      </c>
      <c r="P2" s="21" t="str">
        <f>IFERROR(INDEX('ORG-Metrics'!$A$1:$U$38,MATCH($C2,'ORG-Metrics'!$A$1:$A$38,0),MATCH(P$1,'ORG-Metrics'!$1:$1,0)),"")</f>
        <v/>
      </c>
      <c r="Q2" s="21" t="str">
        <f>IFERROR(INDEX('ORG-Metrics'!$A$1:$U$38,MATCH($C2,'ORG-Metrics'!$A$1:$A$38,0),MATCH(Q$1,'ORG-Metrics'!$1:$1,0)),"")</f>
        <v/>
      </c>
      <c r="R2" s="21" t="str">
        <f>IFERROR(INDEX('ORG-Metrics'!$A$1:$U$38,MATCH($C2,'ORG-Metrics'!$A$1:$A$38,0),MATCH(R$1,'ORG-Metrics'!$1:$1,0)),"")</f>
        <v/>
      </c>
      <c r="S2" s="21" t="str">
        <f>IFERROR(INDEX('ORG-Metrics'!$A$1:$U$38,MATCH($C2,'ORG-Metrics'!$A$1:$A$38,0),MATCH(S$1,'ORG-Metrics'!$1:$1,0)),"")</f>
        <v/>
      </c>
      <c r="T2" s="21" t="str">
        <f>IFERROR(INDEX('ORG-Metrics'!$A$1:$U$38,MATCH($C2,'ORG-Metrics'!$A$1:$A$38,0),MATCH(T$1,'ORG-Metrics'!$1:$1,0)),"")</f>
        <v/>
      </c>
      <c r="U2" s="21" t="str">
        <f>IFERROR(INDEX('ORG-Metrics'!$A$1:$U$38,MATCH($C2,'ORG-Metrics'!$A$1:$A$38,0),MATCH(U$1,'ORG-Metrics'!$1:$1,0)),"")</f>
        <v/>
      </c>
      <c r="V2" t="str">
        <f>IFERROR(INDEX('ORG-Metrics'!$A$1:$U$38,MATCH($C2,'ORG-Metrics'!$A$1:$A$38,0),MATCH(V$1,'ORG-Metrics'!$1:$1,0)),"")</f>
        <v/>
      </c>
      <c r="W2" t="str">
        <f>IFERROR(INDEX('ORG-Metrics'!$A$1:$U$38,MATCH($C2,'ORG-Metrics'!$A$1:$A$38,0),MATCH(W$1,'ORG-Metrics'!$1:$1,0)),"")</f>
        <v/>
      </c>
    </row>
    <row r="3" spans="1:23" x14ac:dyDescent="0.3">
      <c r="A3" s="16" t="str">
        <v>Hip Fracture Cases</v>
      </c>
      <c r="C3" t="str">
        <v>AJ</v>
      </c>
      <c r="D3" s="21">
        <f>IFERROR(INDEX('ORG-Metrics'!$A$1:$U$38,MATCH($C3,'ORG-Metrics'!$A$1:$A$38,0),MATCH(D$1,'ORG-Metrics'!$1:$1,0)),"")</f>
        <v>13835.013071722193</v>
      </c>
      <c r="E3" s="21">
        <f>IFERROR(INDEX('ORG-Metrics'!$A$1:$U$38,MATCH($C3,'ORG-Metrics'!$A$1:$A$38,0),MATCH(E$1,'ORG-Metrics'!$1:$1,0)),"")</f>
        <v>139.89229656171702</v>
      </c>
      <c r="F3" s="21" t="str">
        <f>IFERROR(INDEX('ORG-Metrics'!$A$1:$U$38,MATCH($C3,'ORG-Metrics'!$A$1:$A$38,0),MATCH(F$1,'ORG-Metrics'!$1:$1,0)),"")</f>
        <v/>
      </c>
      <c r="G3" s="21" t="str">
        <f>IFERROR(INDEX('ORG-Metrics'!$A$1:$U$38,MATCH($C3,'ORG-Metrics'!$A$1:$A$38,0),MATCH(G$1,'ORG-Metrics'!$1:$1,0)),"")</f>
        <v/>
      </c>
      <c r="H3" s="21" t="str">
        <f>IFERROR(INDEX('ORG-Metrics'!$A$1:$U$38,MATCH($C3,'ORG-Metrics'!$A$1:$A$38,0),MATCH(H$1,'ORG-Metrics'!$1:$1,0)),"")</f>
        <v/>
      </c>
      <c r="I3" s="21" t="str">
        <f>IFERROR(INDEX('ORG-Metrics'!$A$1:$U$38,MATCH($C3,'ORG-Metrics'!$A$1:$A$38,0),MATCH(I$1,'ORG-Metrics'!$1:$1,0)),"")</f>
        <v/>
      </c>
      <c r="J3" s="21" t="str">
        <f>IFERROR(INDEX('ORG-Metrics'!$A$1:$U$38,MATCH($C3,'ORG-Metrics'!$A$1:$A$38,0),MATCH(J$1,'ORG-Metrics'!$1:$1,0)),"")</f>
        <v/>
      </c>
      <c r="K3" s="21" t="str">
        <f>IFERROR(INDEX('ORG-Metrics'!$A$1:$U$38,MATCH($C3,'ORG-Metrics'!$A$1:$A$38,0),MATCH(K$1,'ORG-Metrics'!$1:$1,0)),"")</f>
        <v/>
      </c>
      <c r="L3" s="21" t="str">
        <f>IFERROR(INDEX('ORG-Metrics'!$A$1:$U$38,MATCH($C3,'ORG-Metrics'!$A$1:$A$38,0),MATCH(L$1,'ORG-Metrics'!$1:$1,0)),"")</f>
        <v/>
      </c>
      <c r="M3" s="21" t="str">
        <f>IFERROR(INDEX('ORG-Metrics'!$A$1:$U$38,MATCH($C3,'ORG-Metrics'!$A$1:$A$38,0),MATCH(M$1,'ORG-Metrics'!$1:$1,0)),"")</f>
        <v/>
      </c>
      <c r="N3" s="21" t="str">
        <f>IFERROR(INDEX('ORG-Metrics'!$A$1:$U$38,MATCH($C3,'ORG-Metrics'!$A$1:$A$38,0),MATCH(N$1,'ORG-Metrics'!$1:$1,0)),"")</f>
        <v/>
      </c>
      <c r="O3" s="21" t="str">
        <f>IFERROR(INDEX('ORG-Metrics'!$A$1:$U$38,MATCH($C3,'ORG-Metrics'!$A$1:$A$38,0),MATCH(O$1,'ORG-Metrics'!$1:$1,0)),"")</f>
        <v/>
      </c>
      <c r="P3" s="21" t="str">
        <f>IFERROR(INDEX('ORG-Metrics'!$A$1:$U$38,MATCH($C3,'ORG-Metrics'!$A$1:$A$38,0),MATCH(P$1,'ORG-Metrics'!$1:$1,0)),"")</f>
        <v/>
      </c>
      <c r="Q3" s="21" t="str">
        <f>IFERROR(INDEX('ORG-Metrics'!$A$1:$U$38,MATCH($C3,'ORG-Metrics'!$A$1:$A$38,0),MATCH(Q$1,'ORG-Metrics'!$1:$1,0)),"")</f>
        <v/>
      </c>
      <c r="R3" s="21" t="str">
        <f>IFERROR(INDEX('ORG-Metrics'!$A$1:$U$38,MATCH($C3,'ORG-Metrics'!$A$1:$A$38,0),MATCH(R$1,'ORG-Metrics'!$1:$1,0)),"")</f>
        <v/>
      </c>
      <c r="S3" s="21" t="str">
        <f>IFERROR(INDEX('ORG-Metrics'!$A$1:$U$38,MATCH($C3,'ORG-Metrics'!$A$1:$A$38,0),MATCH(S$1,'ORG-Metrics'!$1:$1,0)),"")</f>
        <v/>
      </c>
      <c r="T3" s="21" t="str">
        <f>IFERROR(INDEX('ORG-Metrics'!$A$1:$U$38,MATCH($C3,'ORG-Metrics'!$A$1:$A$38,0),MATCH(T$1,'ORG-Metrics'!$1:$1,0)),"")</f>
        <v/>
      </c>
      <c r="U3" s="21" t="str">
        <f>IFERROR(INDEX('ORG-Metrics'!$A$1:$U$38,MATCH($C3,'ORG-Metrics'!$A$1:$A$38,0),MATCH(U$1,'ORG-Metrics'!$1:$1,0)),"")</f>
        <v/>
      </c>
      <c r="V3" t="str">
        <f>IFERROR(INDEX('ORG-Metrics'!$A$1:$U$38,MATCH($C3,'ORG-Metrics'!$A$1:$A$38,0),MATCH(V$1,'ORG-Metrics'!$1:$1,0)),"")</f>
        <v/>
      </c>
      <c r="W3" t="str">
        <f>IFERROR(INDEX('ORG-Metrics'!$A$1:$U$38,MATCH($C3,'ORG-Metrics'!$A$1:$A$38,0),MATCH(W$1,'ORG-Metrics'!$1:$1,0)),"")</f>
        <v/>
      </c>
    </row>
    <row r="4" spans="1:23" x14ac:dyDescent="0.3">
      <c r="A4" s="17"/>
      <c r="C4" t="str">
        <v>E</v>
      </c>
      <c r="D4" s="21">
        <f>IFERROR(INDEX('ORG-Metrics'!$A$1:$U$38,MATCH($C4,'ORG-Metrics'!$A$1:$A$38,0),MATCH(D$1,'ORG-Metrics'!$1:$1,0)),"")</f>
        <v>13814.692332851082</v>
      </c>
      <c r="E4" s="21">
        <f>IFERROR(INDEX('ORG-Metrics'!$A$1:$U$38,MATCH($C4,'ORG-Metrics'!$A$1:$A$38,0),MATCH(E$1,'ORG-Metrics'!$1:$1,0)),"")</f>
        <v>285.67061572560317</v>
      </c>
      <c r="F4" s="21" t="str">
        <f>IFERROR(INDEX('ORG-Metrics'!$A$1:$U$38,MATCH($C4,'ORG-Metrics'!$A$1:$A$38,0),MATCH(F$1,'ORG-Metrics'!$1:$1,0)),"")</f>
        <v/>
      </c>
      <c r="G4" s="21" t="str">
        <f>IFERROR(INDEX('ORG-Metrics'!$A$1:$U$38,MATCH($C4,'ORG-Metrics'!$A$1:$A$38,0),MATCH(G$1,'ORG-Metrics'!$1:$1,0)),"")</f>
        <v/>
      </c>
      <c r="H4" s="21" t="str">
        <f>IFERROR(INDEX('ORG-Metrics'!$A$1:$U$38,MATCH($C4,'ORG-Metrics'!$A$1:$A$38,0),MATCH(H$1,'ORG-Metrics'!$1:$1,0)),"")</f>
        <v/>
      </c>
      <c r="I4" s="21" t="str">
        <f>IFERROR(INDEX('ORG-Metrics'!$A$1:$U$38,MATCH($C4,'ORG-Metrics'!$A$1:$A$38,0),MATCH(I$1,'ORG-Metrics'!$1:$1,0)),"")</f>
        <v/>
      </c>
      <c r="J4" s="21" t="str">
        <f>IFERROR(INDEX('ORG-Metrics'!$A$1:$U$38,MATCH($C4,'ORG-Metrics'!$A$1:$A$38,0),MATCH(J$1,'ORG-Metrics'!$1:$1,0)),"")</f>
        <v/>
      </c>
      <c r="K4" s="21" t="str">
        <f>IFERROR(INDEX('ORG-Metrics'!$A$1:$U$38,MATCH($C4,'ORG-Metrics'!$A$1:$A$38,0),MATCH(K$1,'ORG-Metrics'!$1:$1,0)),"")</f>
        <v/>
      </c>
      <c r="L4" s="21" t="str">
        <f>IFERROR(INDEX('ORG-Metrics'!$A$1:$U$38,MATCH($C4,'ORG-Metrics'!$A$1:$A$38,0),MATCH(L$1,'ORG-Metrics'!$1:$1,0)),"")</f>
        <v/>
      </c>
      <c r="M4" s="21" t="str">
        <f>IFERROR(INDEX('ORG-Metrics'!$A$1:$U$38,MATCH($C4,'ORG-Metrics'!$A$1:$A$38,0),MATCH(M$1,'ORG-Metrics'!$1:$1,0)),"")</f>
        <v/>
      </c>
      <c r="N4" s="21" t="str">
        <f>IFERROR(INDEX('ORG-Metrics'!$A$1:$U$38,MATCH($C4,'ORG-Metrics'!$A$1:$A$38,0),MATCH(N$1,'ORG-Metrics'!$1:$1,0)),"")</f>
        <v/>
      </c>
      <c r="O4" s="21" t="str">
        <f>IFERROR(INDEX('ORG-Metrics'!$A$1:$U$38,MATCH($C4,'ORG-Metrics'!$A$1:$A$38,0),MATCH(O$1,'ORG-Metrics'!$1:$1,0)),"")</f>
        <v/>
      </c>
      <c r="P4" s="21" t="str">
        <f>IFERROR(INDEX('ORG-Metrics'!$A$1:$U$38,MATCH($C4,'ORG-Metrics'!$A$1:$A$38,0),MATCH(P$1,'ORG-Metrics'!$1:$1,0)),"")</f>
        <v/>
      </c>
      <c r="Q4" s="21" t="str">
        <f>IFERROR(INDEX('ORG-Metrics'!$A$1:$U$38,MATCH($C4,'ORG-Metrics'!$A$1:$A$38,0),MATCH(Q$1,'ORG-Metrics'!$1:$1,0)),"")</f>
        <v/>
      </c>
      <c r="R4" s="21" t="str">
        <f>IFERROR(INDEX('ORG-Metrics'!$A$1:$U$38,MATCH($C4,'ORG-Metrics'!$A$1:$A$38,0),MATCH(R$1,'ORG-Metrics'!$1:$1,0)),"")</f>
        <v/>
      </c>
      <c r="S4" s="21" t="str">
        <f>IFERROR(INDEX('ORG-Metrics'!$A$1:$U$38,MATCH($C4,'ORG-Metrics'!$A$1:$A$38,0),MATCH(S$1,'ORG-Metrics'!$1:$1,0)),"")</f>
        <v/>
      </c>
      <c r="T4" s="21" t="str">
        <f>IFERROR(INDEX('ORG-Metrics'!$A$1:$U$38,MATCH($C4,'ORG-Metrics'!$A$1:$A$38,0),MATCH(T$1,'ORG-Metrics'!$1:$1,0)),"")</f>
        <v/>
      </c>
      <c r="U4" s="21" t="str">
        <f>IFERROR(INDEX('ORG-Metrics'!$A$1:$U$38,MATCH($C4,'ORG-Metrics'!$A$1:$A$38,0),MATCH(U$1,'ORG-Metrics'!$1:$1,0)),"")</f>
        <v/>
      </c>
      <c r="V4" t="str">
        <f>IFERROR(INDEX('ORG-Metrics'!$A$1:$U$38,MATCH($C4,'ORG-Metrics'!$A$1:$A$38,0),MATCH(V$1,'ORG-Metrics'!$1:$1,0)),"")</f>
        <v/>
      </c>
      <c r="W4" t="str">
        <f>IFERROR(INDEX('ORG-Metrics'!$A$1:$U$38,MATCH($C4,'ORG-Metrics'!$A$1:$A$38,0),MATCH(W$1,'ORG-Metrics'!$1:$1,0)),"")</f>
        <v/>
      </c>
    </row>
    <row r="5" spans="1:23" x14ac:dyDescent="0.3">
      <c r="A5" s="18"/>
      <c r="C5" t="str">
        <v>L</v>
      </c>
      <c r="D5" s="21">
        <f>IFERROR(INDEX('ORG-Metrics'!$A$1:$U$38,MATCH($C5,'ORG-Metrics'!$A$1:$A$38,0),MATCH(D$1,'ORG-Metrics'!$1:$1,0)),"")</f>
        <v>13118.519325623121</v>
      </c>
      <c r="E5" s="21">
        <f>IFERROR(INDEX('ORG-Metrics'!$A$1:$U$38,MATCH($C5,'ORG-Metrics'!$A$1:$A$38,0),MATCH(E$1,'ORG-Metrics'!$1:$1,0)),"")</f>
        <v>221.10540195649486</v>
      </c>
      <c r="F5" s="21" t="str">
        <f>IFERROR(INDEX('ORG-Metrics'!$A$1:$U$38,MATCH($C5,'ORG-Metrics'!$A$1:$A$38,0),MATCH(F$1,'ORG-Metrics'!$1:$1,0)),"")</f>
        <v/>
      </c>
      <c r="G5" s="21" t="str">
        <f>IFERROR(INDEX('ORG-Metrics'!$A$1:$U$38,MATCH($C5,'ORG-Metrics'!$A$1:$A$38,0),MATCH(G$1,'ORG-Metrics'!$1:$1,0)),"")</f>
        <v/>
      </c>
      <c r="H5" s="21" t="str">
        <f>IFERROR(INDEX('ORG-Metrics'!$A$1:$U$38,MATCH($C5,'ORG-Metrics'!$A$1:$A$38,0),MATCH(H$1,'ORG-Metrics'!$1:$1,0)),"")</f>
        <v/>
      </c>
      <c r="I5" s="21" t="str">
        <f>IFERROR(INDEX('ORG-Metrics'!$A$1:$U$38,MATCH($C5,'ORG-Metrics'!$A$1:$A$38,0),MATCH(I$1,'ORG-Metrics'!$1:$1,0)),"")</f>
        <v/>
      </c>
      <c r="J5" s="21" t="str">
        <f>IFERROR(INDEX('ORG-Metrics'!$A$1:$U$38,MATCH($C5,'ORG-Metrics'!$A$1:$A$38,0),MATCH(J$1,'ORG-Metrics'!$1:$1,0)),"")</f>
        <v/>
      </c>
      <c r="K5" s="21" t="str">
        <f>IFERROR(INDEX('ORG-Metrics'!$A$1:$U$38,MATCH($C5,'ORG-Metrics'!$A$1:$A$38,0),MATCH(K$1,'ORG-Metrics'!$1:$1,0)),"")</f>
        <v/>
      </c>
      <c r="L5" s="21" t="str">
        <f>IFERROR(INDEX('ORG-Metrics'!$A$1:$U$38,MATCH($C5,'ORG-Metrics'!$A$1:$A$38,0),MATCH(L$1,'ORG-Metrics'!$1:$1,0)),"")</f>
        <v/>
      </c>
      <c r="M5" s="21" t="str">
        <f>IFERROR(INDEX('ORG-Metrics'!$A$1:$U$38,MATCH($C5,'ORG-Metrics'!$A$1:$A$38,0),MATCH(M$1,'ORG-Metrics'!$1:$1,0)),"")</f>
        <v/>
      </c>
      <c r="N5" s="21" t="str">
        <f>IFERROR(INDEX('ORG-Metrics'!$A$1:$U$38,MATCH($C5,'ORG-Metrics'!$A$1:$A$38,0),MATCH(N$1,'ORG-Metrics'!$1:$1,0)),"")</f>
        <v/>
      </c>
      <c r="O5" s="21" t="str">
        <f>IFERROR(INDEX('ORG-Metrics'!$A$1:$U$38,MATCH($C5,'ORG-Metrics'!$A$1:$A$38,0),MATCH(O$1,'ORG-Metrics'!$1:$1,0)),"")</f>
        <v/>
      </c>
      <c r="P5" s="21" t="str">
        <f>IFERROR(INDEX('ORG-Metrics'!$A$1:$U$38,MATCH($C5,'ORG-Metrics'!$A$1:$A$38,0),MATCH(P$1,'ORG-Metrics'!$1:$1,0)),"")</f>
        <v/>
      </c>
      <c r="Q5" s="21" t="str">
        <f>IFERROR(INDEX('ORG-Metrics'!$A$1:$U$38,MATCH($C5,'ORG-Metrics'!$A$1:$A$38,0),MATCH(Q$1,'ORG-Metrics'!$1:$1,0)),"")</f>
        <v/>
      </c>
      <c r="R5" s="21" t="str">
        <f>IFERROR(INDEX('ORG-Metrics'!$A$1:$U$38,MATCH($C5,'ORG-Metrics'!$A$1:$A$38,0),MATCH(R$1,'ORG-Metrics'!$1:$1,0)),"")</f>
        <v/>
      </c>
      <c r="S5" s="21" t="str">
        <f>IFERROR(INDEX('ORG-Metrics'!$A$1:$U$38,MATCH($C5,'ORG-Metrics'!$A$1:$A$38,0),MATCH(S$1,'ORG-Metrics'!$1:$1,0)),"")</f>
        <v/>
      </c>
      <c r="T5" s="21" t="str">
        <f>IFERROR(INDEX('ORG-Metrics'!$A$1:$U$38,MATCH($C5,'ORG-Metrics'!$A$1:$A$38,0),MATCH(T$1,'ORG-Metrics'!$1:$1,0)),"")</f>
        <v/>
      </c>
      <c r="U5" s="21" t="str">
        <f>IFERROR(INDEX('ORG-Metrics'!$A$1:$U$38,MATCH($C5,'ORG-Metrics'!$A$1:$A$38,0),MATCH(U$1,'ORG-Metrics'!$1:$1,0)),"")</f>
        <v/>
      </c>
      <c r="V5" t="str">
        <f>IFERROR(INDEX('ORG-Metrics'!$A$1:$U$38,MATCH($C5,'ORG-Metrics'!$A$1:$A$38,0),MATCH(V$1,'ORG-Metrics'!$1:$1,0)),"")</f>
        <v/>
      </c>
      <c r="W5" t="str">
        <f>IFERROR(INDEX('ORG-Metrics'!$A$1:$U$38,MATCH($C5,'ORG-Metrics'!$A$1:$A$38,0),MATCH(W$1,'ORG-Metrics'!$1:$1,0)),"")</f>
        <v/>
      </c>
    </row>
    <row r="6" spans="1:23" x14ac:dyDescent="0.3">
      <c r="A6" s="18"/>
      <c r="C6" t="str">
        <v>M</v>
      </c>
      <c r="D6" s="21">
        <f>IFERROR(INDEX('ORG-Metrics'!$A$1:$U$38,MATCH($C6,'ORG-Metrics'!$A$1:$A$38,0),MATCH(D$1,'ORG-Metrics'!$1:$1,0)),"")</f>
        <v>14996.46722420484</v>
      </c>
      <c r="E6" s="21">
        <f>IFERROR(INDEX('ORG-Metrics'!$A$1:$U$38,MATCH($C6,'ORG-Metrics'!$A$1:$A$38,0),MATCH(E$1,'ORG-Metrics'!$1:$1,0)),"")</f>
        <v>277.66902672687809</v>
      </c>
      <c r="F6" s="21" t="str">
        <f>IFERROR(INDEX('ORG-Metrics'!$A$1:$U$38,MATCH($C6,'ORG-Metrics'!$A$1:$A$38,0),MATCH(F$1,'ORG-Metrics'!$1:$1,0)),"")</f>
        <v/>
      </c>
      <c r="G6" s="21" t="str">
        <f>IFERROR(INDEX('ORG-Metrics'!$A$1:$U$38,MATCH($C6,'ORG-Metrics'!$A$1:$A$38,0),MATCH(G$1,'ORG-Metrics'!$1:$1,0)),"")</f>
        <v/>
      </c>
      <c r="H6" s="21" t="str">
        <f>IFERROR(INDEX('ORG-Metrics'!$A$1:$U$38,MATCH($C6,'ORG-Metrics'!$A$1:$A$38,0),MATCH(H$1,'ORG-Metrics'!$1:$1,0)),"")</f>
        <v/>
      </c>
      <c r="I6" s="21" t="str">
        <f>IFERROR(INDEX('ORG-Metrics'!$A$1:$U$38,MATCH($C6,'ORG-Metrics'!$A$1:$A$38,0),MATCH(I$1,'ORG-Metrics'!$1:$1,0)),"")</f>
        <v/>
      </c>
      <c r="J6" s="21" t="str">
        <f>IFERROR(INDEX('ORG-Metrics'!$A$1:$U$38,MATCH($C6,'ORG-Metrics'!$A$1:$A$38,0),MATCH(J$1,'ORG-Metrics'!$1:$1,0)),"")</f>
        <v/>
      </c>
      <c r="K6" s="21" t="str">
        <f>IFERROR(INDEX('ORG-Metrics'!$A$1:$U$38,MATCH($C6,'ORG-Metrics'!$A$1:$A$38,0),MATCH(K$1,'ORG-Metrics'!$1:$1,0)),"")</f>
        <v/>
      </c>
      <c r="L6" s="21" t="str">
        <f>IFERROR(INDEX('ORG-Metrics'!$A$1:$U$38,MATCH($C6,'ORG-Metrics'!$A$1:$A$38,0),MATCH(L$1,'ORG-Metrics'!$1:$1,0)),"")</f>
        <v/>
      </c>
      <c r="M6" s="21" t="str">
        <f>IFERROR(INDEX('ORG-Metrics'!$A$1:$U$38,MATCH($C6,'ORG-Metrics'!$A$1:$A$38,0),MATCH(M$1,'ORG-Metrics'!$1:$1,0)),"")</f>
        <v/>
      </c>
      <c r="N6" s="21" t="str">
        <f>IFERROR(INDEX('ORG-Metrics'!$A$1:$U$38,MATCH($C6,'ORG-Metrics'!$A$1:$A$38,0),MATCH(N$1,'ORG-Metrics'!$1:$1,0)),"")</f>
        <v/>
      </c>
      <c r="O6" s="21" t="str">
        <f>IFERROR(INDEX('ORG-Metrics'!$A$1:$U$38,MATCH($C6,'ORG-Metrics'!$A$1:$A$38,0),MATCH(O$1,'ORG-Metrics'!$1:$1,0)),"")</f>
        <v/>
      </c>
      <c r="P6" s="21" t="str">
        <f>IFERROR(INDEX('ORG-Metrics'!$A$1:$U$38,MATCH($C6,'ORG-Metrics'!$A$1:$A$38,0),MATCH(P$1,'ORG-Metrics'!$1:$1,0)),"")</f>
        <v/>
      </c>
      <c r="Q6" s="21" t="str">
        <f>IFERROR(INDEX('ORG-Metrics'!$A$1:$U$38,MATCH($C6,'ORG-Metrics'!$A$1:$A$38,0),MATCH(Q$1,'ORG-Metrics'!$1:$1,0)),"")</f>
        <v/>
      </c>
      <c r="R6" s="21" t="str">
        <f>IFERROR(INDEX('ORG-Metrics'!$A$1:$U$38,MATCH($C6,'ORG-Metrics'!$A$1:$A$38,0),MATCH(R$1,'ORG-Metrics'!$1:$1,0)),"")</f>
        <v/>
      </c>
      <c r="S6" s="21" t="str">
        <f>IFERROR(INDEX('ORG-Metrics'!$A$1:$U$38,MATCH($C6,'ORG-Metrics'!$A$1:$A$38,0),MATCH(S$1,'ORG-Metrics'!$1:$1,0)),"")</f>
        <v/>
      </c>
      <c r="T6" s="21" t="str">
        <f>IFERROR(INDEX('ORG-Metrics'!$A$1:$U$38,MATCH($C6,'ORG-Metrics'!$A$1:$A$38,0),MATCH(T$1,'ORG-Metrics'!$1:$1,0)),"")</f>
        <v/>
      </c>
      <c r="U6" s="21" t="str">
        <f>IFERROR(INDEX('ORG-Metrics'!$A$1:$U$38,MATCH($C6,'ORG-Metrics'!$A$1:$A$38,0),MATCH(U$1,'ORG-Metrics'!$1:$1,0)),"")</f>
        <v/>
      </c>
      <c r="V6" t="str">
        <f>IFERROR(INDEX('ORG-Metrics'!$A$1:$U$38,MATCH($C6,'ORG-Metrics'!$A$1:$A$38,0),MATCH(V$1,'ORG-Metrics'!$1:$1,0)),"")</f>
        <v/>
      </c>
      <c r="W6" t="str">
        <f>IFERROR(INDEX('ORG-Metrics'!$A$1:$U$38,MATCH($C6,'ORG-Metrics'!$A$1:$A$38,0),MATCH(W$1,'ORG-Metrics'!$1:$1,0)),"")</f>
        <v/>
      </c>
    </row>
    <row r="7" spans="1:23" x14ac:dyDescent="0.3">
      <c r="A7" s="18"/>
      <c r="C7" t="str">
        <v>Q</v>
      </c>
      <c r="D7" s="21">
        <f>IFERROR(INDEX('ORG-Metrics'!$A$1:$U$38,MATCH($C7,'ORG-Metrics'!$A$1:$A$38,0),MATCH(D$1,'ORG-Metrics'!$1:$1,0)),"")</f>
        <v>13691.167650458188</v>
      </c>
      <c r="E7" s="21">
        <f>IFERROR(INDEX('ORG-Metrics'!$A$1:$U$38,MATCH($C7,'ORG-Metrics'!$A$1:$A$38,0),MATCH(E$1,'ORG-Metrics'!$1:$1,0)),"")</f>
        <v>346.13338839179994</v>
      </c>
      <c r="F7" s="21" t="str">
        <f>IFERROR(INDEX('ORG-Metrics'!$A$1:$U$38,MATCH($C7,'ORG-Metrics'!$A$1:$A$38,0),MATCH(F$1,'ORG-Metrics'!$1:$1,0)),"")</f>
        <v/>
      </c>
      <c r="G7" s="21" t="str">
        <f>IFERROR(INDEX('ORG-Metrics'!$A$1:$U$38,MATCH($C7,'ORG-Metrics'!$A$1:$A$38,0),MATCH(G$1,'ORG-Metrics'!$1:$1,0)),"")</f>
        <v/>
      </c>
      <c r="H7" s="21" t="str">
        <f>IFERROR(INDEX('ORG-Metrics'!$A$1:$U$38,MATCH($C7,'ORG-Metrics'!$A$1:$A$38,0),MATCH(H$1,'ORG-Metrics'!$1:$1,0)),"")</f>
        <v/>
      </c>
      <c r="I7" s="21" t="str">
        <f>IFERROR(INDEX('ORG-Metrics'!$A$1:$U$38,MATCH($C7,'ORG-Metrics'!$A$1:$A$38,0),MATCH(I$1,'ORG-Metrics'!$1:$1,0)),"")</f>
        <v/>
      </c>
      <c r="J7" s="21" t="str">
        <f>IFERROR(INDEX('ORG-Metrics'!$A$1:$U$38,MATCH($C7,'ORG-Metrics'!$A$1:$A$38,0),MATCH(J$1,'ORG-Metrics'!$1:$1,0)),"")</f>
        <v/>
      </c>
      <c r="K7" s="21" t="str">
        <f>IFERROR(INDEX('ORG-Metrics'!$A$1:$U$38,MATCH($C7,'ORG-Metrics'!$A$1:$A$38,0),MATCH(K$1,'ORG-Metrics'!$1:$1,0)),"")</f>
        <v/>
      </c>
      <c r="L7" s="21" t="str">
        <f>IFERROR(INDEX('ORG-Metrics'!$A$1:$U$38,MATCH($C7,'ORG-Metrics'!$A$1:$A$38,0),MATCH(L$1,'ORG-Metrics'!$1:$1,0)),"")</f>
        <v/>
      </c>
      <c r="M7" s="21" t="str">
        <f>IFERROR(INDEX('ORG-Metrics'!$A$1:$U$38,MATCH($C7,'ORG-Metrics'!$A$1:$A$38,0),MATCH(M$1,'ORG-Metrics'!$1:$1,0)),"")</f>
        <v/>
      </c>
      <c r="N7" s="21" t="str">
        <f>IFERROR(INDEX('ORG-Metrics'!$A$1:$U$38,MATCH($C7,'ORG-Metrics'!$A$1:$A$38,0),MATCH(N$1,'ORG-Metrics'!$1:$1,0)),"")</f>
        <v/>
      </c>
      <c r="O7" s="21" t="str">
        <f>IFERROR(INDEX('ORG-Metrics'!$A$1:$U$38,MATCH($C7,'ORG-Metrics'!$A$1:$A$38,0),MATCH(O$1,'ORG-Metrics'!$1:$1,0)),"")</f>
        <v/>
      </c>
      <c r="P7" s="21" t="str">
        <f>IFERROR(INDEX('ORG-Metrics'!$A$1:$U$38,MATCH($C7,'ORG-Metrics'!$A$1:$A$38,0),MATCH(P$1,'ORG-Metrics'!$1:$1,0)),"")</f>
        <v/>
      </c>
      <c r="Q7" s="21" t="str">
        <f>IFERROR(INDEX('ORG-Metrics'!$A$1:$U$38,MATCH($C7,'ORG-Metrics'!$A$1:$A$38,0),MATCH(Q$1,'ORG-Metrics'!$1:$1,0)),"")</f>
        <v/>
      </c>
      <c r="R7" s="21" t="str">
        <f>IFERROR(INDEX('ORG-Metrics'!$A$1:$U$38,MATCH($C7,'ORG-Metrics'!$A$1:$A$38,0),MATCH(R$1,'ORG-Metrics'!$1:$1,0)),"")</f>
        <v/>
      </c>
      <c r="S7" s="21" t="str">
        <f>IFERROR(INDEX('ORG-Metrics'!$A$1:$U$38,MATCH($C7,'ORG-Metrics'!$A$1:$A$38,0),MATCH(S$1,'ORG-Metrics'!$1:$1,0)),"")</f>
        <v/>
      </c>
      <c r="T7" s="21" t="str">
        <f>IFERROR(INDEX('ORG-Metrics'!$A$1:$U$38,MATCH($C7,'ORG-Metrics'!$A$1:$A$38,0),MATCH(T$1,'ORG-Metrics'!$1:$1,0)),"")</f>
        <v/>
      </c>
      <c r="U7" s="21" t="str">
        <f>IFERROR(INDEX('ORG-Metrics'!$A$1:$U$38,MATCH($C7,'ORG-Metrics'!$A$1:$A$38,0),MATCH(U$1,'ORG-Metrics'!$1:$1,0)),"")</f>
        <v/>
      </c>
      <c r="V7" t="str">
        <f>IFERROR(INDEX('ORG-Metrics'!$A$1:$U$38,MATCH($C7,'ORG-Metrics'!$A$1:$A$38,0),MATCH(V$1,'ORG-Metrics'!$1:$1,0)),"")</f>
        <v/>
      </c>
      <c r="W7" t="str">
        <f>IFERROR(INDEX('ORG-Metrics'!$A$1:$U$38,MATCH($C7,'ORG-Metrics'!$A$1:$A$38,0),MATCH(W$1,'ORG-Metrics'!$1:$1,0)),"")</f>
        <v/>
      </c>
    </row>
    <row r="8" spans="1:23" x14ac:dyDescent="0.3">
      <c r="A8" s="18"/>
      <c r="C8" t="str">
        <v>Z</v>
      </c>
      <c r="D8" s="21">
        <f>IFERROR(INDEX('ORG-Metrics'!$A$1:$U$38,MATCH($C8,'ORG-Metrics'!$A$1:$A$38,0),MATCH(D$1,'ORG-Metrics'!$1:$1,0)),"")</f>
        <v>16667.597709999853</v>
      </c>
      <c r="E8" s="21">
        <f>IFERROR(INDEX('ORG-Metrics'!$A$1:$U$38,MATCH($C8,'ORG-Metrics'!$A$1:$A$38,0),MATCH(E$1,'ORG-Metrics'!$1:$1,0)),"")</f>
        <v>373.85537442078197</v>
      </c>
      <c r="F8" s="21" t="str">
        <f>IFERROR(INDEX('ORG-Metrics'!$A$1:$U$38,MATCH($C8,'ORG-Metrics'!$A$1:$A$38,0),MATCH(F$1,'ORG-Metrics'!$1:$1,0)),"")</f>
        <v/>
      </c>
      <c r="G8" s="21" t="str">
        <f>IFERROR(INDEX('ORG-Metrics'!$A$1:$U$38,MATCH($C8,'ORG-Metrics'!$A$1:$A$38,0),MATCH(G$1,'ORG-Metrics'!$1:$1,0)),"")</f>
        <v/>
      </c>
      <c r="H8" s="21" t="str">
        <f>IFERROR(INDEX('ORG-Metrics'!$A$1:$U$38,MATCH($C8,'ORG-Metrics'!$A$1:$A$38,0),MATCH(H$1,'ORG-Metrics'!$1:$1,0)),"")</f>
        <v/>
      </c>
      <c r="I8" s="21" t="str">
        <f>IFERROR(INDEX('ORG-Metrics'!$A$1:$U$38,MATCH($C8,'ORG-Metrics'!$A$1:$A$38,0),MATCH(I$1,'ORG-Metrics'!$1:$1,0)),"")</f>
        <v/>
      </c>
      <c r="J8" s="21" t="str">
        <f>IFERROR(INDEX('ORG-Metrics'!$A$1:$U$38,MATCH($C8,'ORG-Metrics'!$A$1:$A$38,0),MATCH(J$1,'ORG-Metrics'!$1:$1,0)),"")</f>
        <v/>
      </c>
      <c r="K8" s="21" t="str">
        <f>IFERROR(INDEX('ORG-Metrics'!$A$1:$U$38,MATCH($C8,'ORG-Metrics'!$A$1:$A$38,0),MATCH(K$1,'ORG-Metrics'!$1:$1,0)),"")</f>
        <v/>
      </c>
      <c r="L8" s="21" t="str">
        <f>IFERROR(INDEX('ORG-Metrics'!$A$1:$U$38,MATCH($C8,'ORG-Metrics'!$A$1:$A$38,0),MATCH(L$1,'ORG-Metrics'!$1:$1,0)),"")</f>
        <v/>
      </c>
      <c r="M8" s="21" t="str">
        <f>IFERROR(INDEX('ORG-Metrics'!$A$1:$U$38,MATCH($C8,'ORG-Metrics'!$A$1:$A$38,0),MATCH(M$1,'ORG-Metrics'!$1:$1,0)),"")</f>
        <v/>
      </c>
      <c r="N8" s="21" t="str">
        <f>IFERROR(INDEX('ORG-Metrics'!$A$1:$U$38,MATCH($C8,'ORG-Metrics'!$A$1:$A$38,0),MATCH(N$1,'ORG-Metrics'!$1:$1,0)),"")</f>
        <v/>
      </c>
      <c r="O8" s="21" t="str">
        <f>IFERROR(INDEX('ORG-Metrics'!$A$1:$U$38,MATCH($C8,'ORG-Metrics'!$A$1:$A$38,0),MATCH(O$1,'ORG-Metrics'!$1:$1,0)),"")</f>
        <v/>
      </c>
      <c r="P8" s="21" t="str">
        <f>IFERROR(INDEX('ORG-Metrics'!$A$1:$U$38,MATCH($C8,'ORG-Metrics'!$A$1:$A$38,0),MATCH(P$1,'ORG-Metrics'!$1:$1,0)),"")</f>
        <v/>
      </c>
      <c r="Q8" s="21" t="str">
        <f>IFERROR(INDEX('ORG-Metrics'!$A$1:$U$38,MATCH($C8,'ORG-Metrics'!$A$1:$A$38,0),MATCH(Q$1,'ORG-Metrics'!$1:$1,0)),"")</f>
        <v/>
      </c>
      <c r="R8" s="21" t="str">
        <f>IFERROR(INDEX('ORG-Metrics'!$A$1:$U$38,MATCH($C8,'ORG-Metrics'!$A$1:$A$38,0),MATCH(R$1,'ORG-Metrics'!$1:$1,0)),"")</f>
        <v/>
      </c>
      <c r="S8" s="21" t="str">
        <f>IFERROR(INDEX('ORG-Metrics'!$A$1:$U$38,MATCH($C8,'ORG-Metrics'!$A$1:$A$38,0),MATCH(S$1,'ORG-Metrics'!$1:$1,0)),"")</f>
        <v/>
      </c>
      <c r="T8" s="21" t="str">
        <f>IFERROR(INDEX('ORG-Metrics'!$A$1:$U$38,MATCH($C8,'ORG-Metrics'!$A$1:$A$38,0),MATCH(T$1,'ORG-Metrics'!$1:$1,0)),"")</f>
        <v/>
      </c>
      <c r="U8" s="21" t="str">
        <f>IFERROR(INDEX('ORG-Metrics'!$A$1:$U$38,MATCH($C8,'ORG-Metrics'!$A$1:$A$38,0),MATCH(U$1,'ORG-Metrics'!$1:$1,0)),"")</f>
        <v/>
      </c>
      <c r="V8" t="str">
        <f>IFERROR(INDEX('ORG-Metrics'!$A$1:$U$38,MATCH($C8,'ORG-Metrics'!$A$1:$A$38,0),MATCH(V$1,'ORG-Metrics'!$1:$1,0)),"")</f>
        <v/>
      </c>
      <c r="W8" t="str">
        <f>IFERROR(INDEX('ORG-Metrics'!$A$1:$U$38,MATCH($C8,'ORG-Metrics'!$A$1:$A$38,0),MATCH(W$1,'ORG-Metrics'!$1:$1,0)),"")</f>
        <v/>
      </c>
    </row>
    <row r="9" spans="1:23" x14ac:dyDescent="0.3">
      <c r="A9" s="18"/>
      <c r="D9" s="21" t="str">
        <f>IFERROR(INDEX('ORG-Metrics'!$A$1:$U$38,MATCH($C9,'ORG-Metrics'!$A$1:$A$38,0),MATCH(D$1,'ORG-Metrics'!$1:$1,0)),"")</f>
        <v/>
      </c>
      <c r="E9" s="21" t="str">
        <f>IFERROR(INDEX('ORG-Metrics'!$A$1:$U$38,MATCH($C9,'ORG-Metrics'!$A$1:$A$38,0),MATCH(E$1,'ORG-Metrics'!$1:$1,0)),"")</f>
        <v/>
      </c>
      <c r="F9" s="21" t="str">
        <f>IFERROR(INDEX('ORG-Metrics'!$A$1:$U$38,MATCH($C9,'ORG-Metrics'!$A$1:$A$38,0),MATCH(F$1,'ORG-Metrics'!$1:$1,0)),"")</f>
        <v/>
      </c>
      <c r="G9" s="21" t="str">
        <f>IFERROR(INDEX('ORG-Metrics'!$A$1:$U$38,MATCH($C9,'ORG-Metrics'!$A$1:$A$38,0),MATCH(G$1,'ORG-Metrics'!$1:$1,0)),"")</f>
        <v/>
      </c>
      <c r="H9" s="21" t="str">
        <f>IFERROR(INDEX('ORG-Metrics'!$A$1:$U$38,MATCH($C9,'ORG-Metrics'!$A$1:$A$38,0),MATCH(H$1,'ORG-Metrics'!$1:$1,0)),"")</f>
        <v/>
      </c>
      <c r="I9" s="21" t="str">
        <f>IFERROR(INDEX('ORG-Metrics'!$A$1:$U$38,MATCH($C9,'ORG-Metrics'!$A$1:$A$38,0),MATCH(I$1,'ORG-Metrics'!$1:$1,0)),"")</f>
        <v/>
      </c>
      <c r="J9" s="21" t="str">
        <f>IFERROR(INDEX('ORG-Metrics'!$A$1:$U$38,MATCH($C9,'ORG-Metrics'!$A$1:$A$38,0),MATCH(J$1,'ORG-Metrics'!$1:$1,0)),"")</f>
        <v/>
      </c>
      <c r="K9" s="21" t="str">
        <f>IFERROR(INDEX('ORG-Metrics'!$A$1:$U$38,MATCH($C9,'ORG-Metrics'!$A$1:$A$38,0),MATCH(K$1,'ORG-Metrics'!$1:$1,0)),"")</f>
        <v/>
      </c>
      <c r="L9" s="21" t="str">
        <f>IFERROR(INDEX('ORG-Metrics'!$A$1:$U$38,MATCH($C9,'ORG-Metrics'!$A$1:$A$38,0),MATCH(L$1,'ORG-Metrics'!$1:$1,0)),"")</f>
        <v/>
      </c>
      <c r="M9" s="21" t="str">
        <f>IFERROR(INDEX('ORG-Metrics'!$A$1:$U$38,MATCH($C9,'ORG-Metrics'!$A$1:$A$38,0),MATCH(M$1,'ORG-Metrics'!$1:$1,0)),"")</f>
        <v/>
      </c>
      <c r="N9" s="21" t="str">
        <f>IFERROR(INDEX('ORG-Metrics'!$A$1:$U$38,MATCH($C9,'ORG-Metrics'!$A$1:$A$38,0),MATCH(N$1,'ORG-Metrics'!$1:$1,0)),"")</f>
        <v/>
      </c>
      <c r="O9" s="21" t="str">
        <f>IFERROR(INDEX('ORG-Metrics'!$A$1:$U$38,MATCH($C9,'ORG-Metrics'!$A$1:$A$38,0),MATCH(O$1,'ORG-Metrics'!$1:$1,0)),"")</f>
        <v/>
      </c>
      <c r="P9" s="21" t="str">
        <f>IFERROR(INDEX('ORG-Metrics'!$A$1:$U$38,MATCH($C9,'ORG-Metrics'!$A$1:$A$38,0),MATCH(P$1,'ORG-Metrics'!$1:$1,0)),"")</f>
        <v/>
      </c>
      <c r="Q9" s="21" t="str">
        <f>IFERROR(INDEX('ORG-Metrics'!$A$1:$U$38,MATCH($C9,'ORG-Metrics'!$A$1:$A$38,0),MATCH(Q$1,'ORG-Metrics'!$1:$1,0)),"")</f>
        <v/>
      </c>
      <c r="R9" s="21" t="str">
        <f>IFERROR(INDEX('ORG-Metrics'!$A$1:$U$38,MATCH($C9,'ORG-Metrics'!$A$1:$A$38,0),MATCH(R$1,'ORG-Metrics'!$1:$1,0)),"")</f>
        <v/>
      </c>
      <c r="S9" s="21" t="str">
        <f>IFERROR(INDEX('ORG-Metrics'!$A$1:$U$38,MATCH($C9,'ORG-Metrics'!$A$1:$A$38,0),MATCH(S$1,'ORG-Metrics'!$1:$1,0)),"")</f>
        <v/>
      </c>
      <c r="T9" s="21" t="str">
        <f>IFERROR(INDEX('ORG-Metrics'!$A$1:$U$38,MATCH($C9,'ORG-Metrics'!$A$1:$A$38,0),MATCH(T$1,'ORG-Metrics'!$1:$1,0)),"")</f>
        <v/>
      </c>
      <c r="U9" s="21" t="str">
        <f>IFERROR(INDEX('ORG-Metrics'!$A$1:$U$38,MATCH($C9,'ORG-Metrics'!$A$1:$A$38,0),MATCH(U$1,'ORG-Metrics'!$1:$1,0)),"")</f>
        <v/>
      </c>
      <c r="V9" t="str">
        <f>IFERROR(INDEX('ORG-Metrics'!$A$1:$U$38,MATCH($C9,'ORG-Metrics'!$A$1:$A$38,0),MATCH(V$1,'ORG-Metrics'!$1:$1,0)),"")</f>
        <v/>
      </c>
      <c r="W9" t="str">
        <f>IFERROR(INDEX('ORG-Metrics'!$A$1:$U$38,MATCH($C9,'ORG-Metrics'!$A$1:$A$38,0),MATCH(W$1,'ORG-Metrics'!$1:$1,0)),"")</f>
        <v/>
      </c>
    </row>
    <row r="10" spans="1:23" x14ac:dyDescent="0.3">
      <c r="A10" s="18"/>
      <c r="D10" s="21" t="str">
        <f>IFERROR(INDEX('ORG-Metrics'!$A$1:$U$38,MATCH($C10,'ORG-Metrics'!$A$1:$A$38,0),MATCH(D$1,'ORG-Metrics'!$1:$1,0)),"")</f>
        <v/>
      </c>
      <c r="E10" s="21" t="str">
        <f>IFERROR(INDEX('ORG-Metrics'!$A$1:$U$38,MATCH($C10,'ORG-Metrics'!$A$1:$A$38,0),MATCH(E$1,'ORG-Metrics'!$1:$1,0)),"")</f>
        <v/>
      </c>
      <c r="F10" s="21" t="str">
        <f>IFERROR(INDEX('ORG-Metrics'!$A$1:$U$38,MATCH($C10,'ORG-Metrics'!$A$1:$A$38,0),MATCH(F$1,'ORG-Metrics'!$1:$1,0)),"")</f>
        <v/>
      </c>
      <c r="G10" s="21" t="str">
        <f>IFERROR(INDEX('ORG-Metrics'!$A$1:$U$38,MATCH($C10,'ORG-Metrics'!$A$1:$A$38,0),MATCH(G$1,'ORG-Metrics'!$1:$1,0)),"")</f>
        <v/>
      </c>
      <c r="H10" s="21" t="str">
        <f>IFERROR(INDEX('ORG-Metrics'!$A$1:$U$38,MATCH($C10,'ORG-Metrics'!$A$1:$A$38,0),MATCH(H$1,'ORG-Metrics'!$1:$1,0)),"")</f>
        <v/>
      </c>
      <c r="I10" s="21" t="str">
        <f>IFERROR(INDEX('ORG-Metrics'!$A$1:$U$38,MATCH($C10,'ORG-Metrics'!$A$1:$A$38,0),MATCH(I$1,'ORG-Metrics'!$1:$1,0)),"")</f>
        <v/>
      </c>
      <c r="J10" s="21" t="str">
        <f>IFERROR(INDEX('ORG-Metrics'!$A$1:$U$38,MATCH($C10,'ORG-Metrics'!$A$1:$A$38,0),MATCH(J$1,'ORG-Metrics'!$1:$1,0)),"")</f>
        <v/>
      </c>
      <c r="K10" s="21" t="str">
        <f>IFERROR(INDEX('ORG-Metrics'!$A$1:$U$38,MATCH($C10,'ORG-Metrics'!$A$1:$A$38,0),MATCH(K$1,'ORG-Metrics'!$1:$1,0)),"")</f>
        <v/>
      </c>
      <c r="L10" s="21" t="str">
        <f>IFERROR(INDEX('ORG-Metrics'!$A$1:$U$38,MATCH($C10,'ORG-Metrics'!$A$1:$A$38,0),MATCH(L$1,'ORG-Metrics'!$1:$1,0)),"")</f>
        <v/>
      </c>
      <c r="M10" s="21" t="str">
        <f>IFERROR(INDEX('ORG-Metrics'!$A$1:$U$38,MATCH($C10,'ORG-Metrics'!$A$1:$A$38,0),MATCH(M$1,'ORG-Metrics'!$1:$1,0)),"")</f>
        <v/>
      </c>
      <c r="N10" s="21" t="str">
        <f>IFERROR(INDEX('ORG-Metrics'!$A$1:$U$38,MATCH($C10,'ORG-Metrics'!$A$1:$A$38,0),MATCH(N$1,'ORG-Metrics'!$1:$1,0)),"")</f>
        <v/>
      </c>
      <c r="O10" s="21" t="str">
        <f>IFERROR(INDEX('ORG-Metrics'!$A$1:$U$38,MATCH($C10,'ORG-Metrics'!$A$1:$A$38,0),MATCH(O$1,'ORG-Metrics'!$1:$1,0)),"")</f>
        <v/>
      </c>
      <c r="P10" s="21" t="str">
        <f>IFERROR(INDEX('ORG-Metrics'!$A$1:$U$38,MATCH($C10,'ORG-Metrics'!$A$1:$A$38,0),MATCH(P$1,'ORG-Metrics'!$1:$1,0)),"")</f>
        <v/>
      </c>
      <c r="Q10" s="21" t="str">
        <f>IFERROR(INDEX('ORG-Metrics'!$A$1:$U$38,MATCH($C10,'ORG-Metrics'!$A$1:$A$38,0),MATCH(Q$1,'ORG-Metrics'!$1:$1,0)),"")</f>
        <v/>
      </c>
      <c r="R10" s="21" t="str">
        <f>IFERROR(INDEX('ORG-Metrics'!$A$1:$U$38,MATCH($C10,'ORG-Metrics'!$A$1:$A$38,0),MATCH(R$1,'ORG-Metrics'!$1:$1,0)),"")</f>
        <v/>
      </c>
      <c r="S10" s="21" t="str">
        <f>IFERROR(INDEX('ORG-Metrics'!$A$1:$U$38,MATCH($C10,'ORG-Metrics'!$A$1:$A$38,0),MATCH(S$1,'ORG-Metrics'!$1:$1,0)),"")</f>
        <v/>
      </c>
      <c r="T10" s="21" t="str">
        <f>IFERROR(INDEX('ORG-Metrics'!$A$1:$U$38,MATCH($C10,'ORG-Metrics'!$A$1:$A$38,0),MATCH(T$1,'ORG-Metrics'!$1:$1,0)),"")</f>
        <v/>
      </c>
      <c r="U10" s="21" t="str">
        <f>IFERROR(INDEX('ORG-Metrics'!$A$1:$U$38,MATCH($C10,'ORG-Metrics'!$A$1:$A$38,0),MATCH(U$1,'ORG-Metrics'!$1:$1,0)),"")</f>
        <v/>
      </c>
      <c r="V10" t="str">
        <f>IFERROR(INDEX('ORG-Metrics'!$A$1:$U$38,MATCH($C10,'ORG-Metrics'!$A$1:$A$38,0),MATCH(V$1,'ORG-Metrics'!$1:$1,0)),"")</f>
        <v/>
      </c>
      <c r="W10" t="str">
        <f>IFERROR(INDEX('ORG-Metrics'!$A$1:$U$38,MATCH($C10,'ORG-Metrics'!$A$1:$A$38,0),MATCH(W$1,'ORG-Metrics'!$1:$1,0)),"")</f>
        <v/>
      </c>
    </row>
    <row r="11" spans="1:23" x14ac:dyDescent="0.3">
      <c r="A11" s="18"/>
      <c r="D11" s="21" t="str">
        <f>IFERROR(INDEX('ORG-Metrics'!$A$1:$U$38,MATCH($C11,'ORG-Metrics'!$A$1:$A$38,0),MATCH(D$1,'ORG-Metrics'!$1:$1,0)),"")</f>
        <v/>
      </c>
      <c r="E11" s="21" t="str">
        <f>IFERROR(INDEX('ORG-Metrics'!$A$1:$U$38,MATCH($C11,'ORG-Metrics'!$A$1:$A$38,0),MATCH(E$1,'ORG-Metrics'!$1:$1,0)),"")</f>
        <v/>
      </c>
      <c r="F11" s="21" t="str">
        <f>IFERROR(INDEX('ORG-Metrics'!$A$1:$U$38,MATCH($C11,'ORG-Metrics'!$A$1:$A$38,0),MATCH(F$1,'ORG-Metrics'!$1:$1,0)),"")</f>
        <v/>
      </c>
      <c r="G11" s="21" t="str">
        <f>IFERROR(INDEX('ORG-Metrics'!$A$1:$U$38,MATCH($C11,'ORG-Metrics'!$A$1:$A$38,0),MATCH(G$1,'ORG-Metrics'!$1:$1,0)),"")</f>
        <v/>
      </c>
      <c r="H11" s="21" t="str">
        <f>IFERROR(INDEX('ORG-Metrics'!$A$1:$U$38,MATCH($C11,'ORG-Metrics'!$A$1:$A$38,0),MATCH(H$1,'ORG-Metrics'!$1:$1,0)),"")</f>
        <v/>
      </c>
      <c r="I11" s="21" t="str">
        <f>IFERROR(INDEX('ORG-Metrics'!$A$1:$U$38,MATCH($C11,'ORG-Metrics'!$A$1:$A$38,0),MATCH(I$1,'ORG-Metrics'!$1:$1,0)),"")</f>
        <v/>
      </c>
      <c r="J11" s="21" t="str">
        <f>IFERROR(INDEX('ORG-Metrics'!$A$1:$U$38,MATCH($C11,'ORG-Metrics'!$A$1:$A$38,0),MATCH(J$1,'ORG-Metrics'!$1:$1,0)),"")</f>
        <v/>
      </c>
      <c r="K11" s="21" t="str">
        <f>IFERROR(INDEX('ORG-Metrics'!$A$1:$U$38,MATCH($C11,'ORG-Metrics'!$A$1:$A$38,0),MATCH(K$1,'ORG-Metrics'!$1:$1,0)),"")</f>
        <v/>
      </c>
      <c r="L11" s="21" t="str">
        <f>IFERROR(INDEX('ORG-Metrics'!$A$1:$U$38,MATCH($C11,'ORG-Metrics'!$A$1:$A$38,0),MATCH(L$1,'ORG-Metrics'!$1:$1,0)),"")</f>
        <v/>
      </c>
      <c r="M11" s="21" t="str">
        <f>IFERROR(INDEX('ORG-Metrics'!$A$1:$U$38,MATCH($C11,'ORG-Metrics'!$A$1:$A$38,0),MATCH(M$1,'ORG-Metrics'!$1:$1,0)),"")</f>
        <v/>
      </c>
      <c r="N11" s="21" t="str">
        <f>IFERROR(INDEX('ORG-Metrics'!$A$1:$U$38,MATCH($C11,'ORG-Metrics'!$A$1:$A$38,0),MATCH(N$1,'ORG-Metrics'!$1:$1,0)),"")</f>
        <v/>
      </c>
      <c r="O11" s="21" t="str">
        <f>IFERROR(INDEX('ORG-Metrics'!$A$1:$U$38,MATCH($C11,'ORG-Metrics'!$A$1:$A$38,0),MATCH(O$1,'ORG-Metrics'!$1:$1,0)),"")</f>
        <v/>
      </c>
      <c r="P11" s="21" t="str">
        <f>IFERROR(INDEX('ORG-Metrics'!$A$1:$U$38,MATCH($C11,'ORG-Metrics'!$A$1:$A$38,0),MATCH(P$1,'ORG-Metrics'!$1:$1,0)),"")</f>
        <v/>
      </c>
      <c r="Q11" s="21" t="str">
        <f>IFERROR(INDEX('ORG-Metrics'!$A$1:$U$38,MATCH($C11,'ORG-Metrics'!$A$1:$A$38,0),MATCH(Q$1,'ORG-Metrics'!$1:$1,0)),"")</f>
        <v/>
      </c>
      <c r="R11" s="21" t="str">
        <f>IFERROR(INDEX('ORG-Metrics'!$A$1:$U$38,MATCH($C11,'ORG-Metrics'!$A$1:$A$38,0),MATCH(R$1,'ORG-Metrics'!$1:$1,0)),"")</f>
        <v/>
      </c>
      <c r="S11" s="21" t="str">
        <f>IFERROR(INDEX('ORG-Metrics'!$A$1:$U$38,MATCH($C11,'ORG-Metrics'!$A$1:$A$38,0),MATCH(S$1,'ORG-Metrics'!$1:$1,0)),"")</f>
        <v/>
      </c>
      <c r="T11" s="21" t="str">
        <f>IFERROR(INDEX('ORG-Metrics'!$A$1:$U$38,MATCH($C11,'ORG-Metrics'!$A$1:$A$38,0),MATCH(T$1,'ORG-Metrics'!$1:$1,0)),"")</f>
        <v/>
      </c>
      <c r="U11" s="21" t="str">
        <f>IFERROR(INDEX('ORG-Metrics'!$A$1:$U$38,MATCH($C11,'ORG-Metrics'!$A$1:$A$38,0),MATCH(U$1,'ORG-Metrics'!$1:$1,0)),"")</f>
        <v/>
      </c>
      <c r="V11" t="str">
        <f>IFERROR(INDEX('ORG-Metrics'!$A$1:$U$38,MATCH($C11,'ORG-Metrics'!$A$1:$A$38,0),MATCH(V$1,'ORG-Metrics'!$1:$1,0)),"")</f>
        <v/>
      </c>
      <c r="W11" t="str">
        <f>IFERROR(INDEX('ORG-Metrics'!$A$1:$U$38,MATCH($C11,'ORG-Metrics'!$A$1:$A$38,0),MATCH(W$1,'ORG-Metrics'!$1:$1,0)),"")</f>
        <v/>
      </c>
    </row>
    <row r="12" spans="1:23" x14ac:dyDescent="0.3">
      <c r="A12" s="18"/>
      <c r="D12" s="21" t="str">
        <f>IFERROR(INDEX('ORG-Metrics'!$A$1:$U$38,MATCH($C12,'ORG-Metrics'!$A$1:$A$38,0),MATCH(D$1,'ORG-Metrics'!$1:$1,0)),"")</f>
        <v/>
      </c>
      <c r="E12" s="21" t="str">
        <f>IFERROR(INDEX('ORG-Metrics'!$A$1:$U$38,MATCH($C12,'ORG-Metrics'!$A$1:$A$38,0),MATCH(E$1,'ORG-Metrics'!$1:$1,0)),"")</f>
        <v/>
      </c>
      <c r="F12" s="21" t="str">
        <f>IFERROR(INDEX('ORG-Metrics'!$A$1:$U$38,MATCH($C12,'ORG-Metrics'!$A$1:$A$38,0),MATCH(F$1,'ORG-Metrics'!$1:$1,0)),"")</f>
        <v/>
      </c>
      <c r="G12" s="21" t="str">
        <f>IFERROR(INDEX('ORG-Metrics'!$A$1:$U$38,MATCH($C12,'ORG-Metrics'!$A$1:$A$38,0),MATCH(G$1,'ORG-Metrics'!$1:$1,0)),"")</f>
        <v/>
      </c>
      <c r="H12" s="21" t="str">
        <f>IFERROR(INDEX('ORG-Metrics'!$A$1:$U$38,MATCH($C12,'ORG-Metrics'!$A$1:$A$38,0),MATCH(H$1,'ORG-Metrics'!$1:$1,0)),"")</f>
        <v/>
      </c>
      <c r="I12" s="21" t="str">
        <f>IFERROR(INDEX('ORG-Metrics'!$A$1:$U$38,MATCH($C12,'ORG-Metrics'!$A$1:$A$38,0),MATCH(I$1,'ORG-Metrics'!$1:$1,0)),"")</f>
        <v/>
      </c>
      <c r="J12" s="21" t="str">
        <f>IFERROR(INDEX('ORG-Metrics'!$A$1:$U$38,MATCH($C12,'ORG-Metrics'!$A$1:$A$38,0),MATCH(J$1,'ORG-Metrics'!$1:$1,0)),"")</f>
        <v/>
      </c>
      <c r="K12" s="21" t="str">
        <f>IFERROR(INDEX('ORG-Metrics'!$A$1:$U$38,MATCH($C12,'ORG-Metrics'!$A$1:$A$38,0),MATCH(K$1,'ORG-Metrics'!$1:$1,0)),"")</f>
        <v/>
      </c>
      <c r="L12" s="21" t="str">
        <f>IFERROR(INDEX('ORG-Metrics'!$A$1:$U$38,MATCH($C12,'ORG-Metrics'!$A$1:$A$38,0),MATCH(L$1,'ORG-Metrics'!$1:$1,0)),"")</f>
        <v/>
      </c>
      <c r="M12" s="21" t="str">
        <f>IFERROR(INDEX('ORG-Metrics'!$A$1:$U$38,MATCH($C12,'ORG-Metrics'!$A$1:$A$38,0),MATCH(M$1,'ORG-Metrics'!$1:$1,0)),"")</f>
        <v/>
      </c>
      <c r="N12" s="21" t="str">
        <f>IFERROR(INDEX('ORG-Metrics'!$A$1:$U$38,MATCH($C12,'ORG-Metrics'!$A$1:$A$38,0),MATCH(N$1,'ORG-Metrics'!$1:$1,0)),"")</f>
        <v/>
      </c>
      <c r="O12" s="21" t="str">
        <f>IFERROR(INDEX('ORG-Metrics'!$A$1:$U$38,MATCH($C12,'ORG-Metrics'!$A$1:$A$38,0),MATCH(O$1,'ORG-Metrics'!$1:$1,0)),"")</f>
        <v/>
      </c>
      <c r="P12" s="21" t="str">
        <f>IFERROR(INDEX('ORG-Metrics'!$A$1:$U$38,MATCH($C12,'ORG-Metrics'!$A$1:$A$38,0),MATCH(P$1,'ORG-Metrics'!$1:$1,0)),"")</f>
        <v/>
      </c>
      <c r="Q12" s="21" t="str">
        <f>IFERROR(INDEX('ORG-Metrics'!$A$1:$U$38,MATCH($C12,'ORG-Metrics'!$A$1:$A$38,0),MATCH(Q$1,'ORG-Metrics'!$1:$1,0)),"")</f>
        <v/>
      </c>
      <c r="R12" s="21" t="str">
        <f>IFERROR(INDEX('ORG-Metrics'!$A$1:$U$38,MATCH($C12,'ORG-Metrics'!$A$1:$A$38,0),MATCH(R$1,'ORG-Metrics'!$1:$1,0)),"")</f>
        <v/>
      </c>
      <c r="S12" s="21" t="str">
        <f>IFERROR(INDEX('ORG-Metrics'!$A$1:$U$38,MATCH($C12,'ORG-Metrics'!$A$1:$A$38,0),MATCH(S$1,'ORG-Metrics'!$1:$1,0)),"")</f>
        <v/>
      </c>
      <c r="T12" s="21" t="str">
        <f>IFERROR(INDEX('ORG-Metrics'!$A$1:$U$38,MATCH($C12,'ORG-Metrics'!$A$1:$A$38,0),MATCH(T$1,'ORG-Metrics'!$1:$1,0)),"")</f>
        <v/>
      </c>
      <c r="U12" s="21" t="str">
        <f>IFERROR(INDEX('ORG-Metrics'!$A$1:$U$38,MATCH($C12,'ORG-Metrics'!$A$1:$A$38,0),MATCH(U$1,'ORG-Metrics'!$1:$1,0)),"")</f>
        <v/>
      </c>
      <c r="V12" t="str">
        <f>IFERROR(INDEX('ORG-Metrics'!$A$1:$U$38,MATCH($C12,'ORG-Metrics'!$A$1:$A$38,0),MATCH(V$1,'ORG-Metrics'!$1:$1,0)),"")</f>
        <v/>
      </c>
      <c r="W12" t="str">
        <f>IFERROR(INDEX('ORG-Metrics'!$A$1:$U$38,MATCH($C12,'ORG-Metrics'!$A$1:$A$38,0),MATCH(W$1,'ORG-Metrics'!$1:$1,0)),"")</f>
        <v/>
      </c>
    </row>
    <row r="13" spans="1:23" x14ac:dyDescent="0.3">
      <c r="A13" s="18"/>
      <c r="D13" s="21" t="str">
        <f>IFERROR(INDEX('ORG-Metrics'!$A$1:$U$38,MATCH($C13,'ORG-Metrics'!$A$1:$A$38,0),MATCH(D$1,'ORG-Metrics'!$1:$1,0)),"")</f>
        <v/>
      </c>
      <c r="E13" s="21" t="str">
        <f>IFERROR(INDEX('ORG-Metrics'!$A$1:$U$38,MATCH($C13,'ORG-Metrics'!$A$1:$A$38,0),MATCH(E$1,'ORG-Metrics'!$1:$1,0)),"")</f>
        <v/>
      </c>
      <c r="F13" s="21" t="str">
        <f>IFERROR(INDEX('ORG-Metrics'!$A$1:$U$38,MATCH($C13,'ORG-Metrics'!$A$1:$A$38,0),MATCH(F$1,'ORG-Metrics'!$1:$1,0)),"")</f>
        <v/>
      </c>
      <c r="G13" s="21" t="str">
        <f>IFERROR(INDEX('ORG-Metrics'!$A$1:$U$38,MATCH($C13,'ORG-Metrics'!$A$1:$A$38,0),MATCH(G$1,'ORG-Metrics'!$1:$1,0)),"")</f>
        <v/>
      </c>
      <c r="H13" s="21" t="str">
        <f>IFERROR(INDEX('ORG-Metrics'!$A$1:$U$38,MATCH($C13,'ORG-Metrics'!$A$1:$A$38,0),MATCH(H$1,'ORG-Metrics'!$1:$1,0)),"")</f>
        <v/>
      </c>
      <c r="I13" s="21" t="str">
        <f>IFERROR(INDEX('ORG-Metrics'!$A$1:$U$38,MATCH($C13,'ORG-Metrics'!$A$1:$A$38,0),MATCH(I$1,'ORG-Metrics'!$1:$1,0)),"")</f>
        <v/>
      </c>
      <c r="J13" s="21" t="str">
        <f>IFERROR(INDEX('ORG-Metrics'!$A$1:$U$38,MATCH($C13,'ORG-Metrics'!$A$1:$A$38,0),MATCH(J$1,'ORG-Metrics'!$1:$1,0)),"")</f>
        <v/>
      </c>
      <c r="K13" s="21" t="str">
        <f>IFERROR(INDEX('ORG-Metrics'!$A$1:$U$38,MATCH($C13,'ORG-Metrics'!$A$1:$A$38,0),MATCH(K$1,'ORG-Metrics'!$1:$1,0)),"")</f>
        <v/>
      </c>
      <c r="L13" s="21" t="str">
        <f>IFERROR(INDEX('ORG-Metrics'!$A$1:$U$38,MATCH($C13,'ORG-Metrics'!$A$1:$A$38,0),MATCH(L$1,'ORG-Metrics'!$1:$1,0)),"")</f>
        <v/>
      </c>
      <c r="M13" s="21" t="str">
        <f>IFERROR(INDEX('ORG-Metrics'!$A$1:$U$38,MATCH($C13,'ORG-Metrics'!$A$1:$A$38,0),MATCH(M$1,'ORG-Metrics'!$1:$1,0)),"")</f>
        <v/>
      </c>
      <c r="N13" s="21" t="str">
        <f>IFERROR(INDEX('ORG-Metrics'!$A$1:$U$38,MATCH($C13,'ORG-Metrics'!$A$1:$A$38,0),MATCH(N$1,'ORG-Metrics'!$1:$1,0)),"")</f>
        <v/>
      </c>
      <c r="O13" s="21" t="str">
        <f>IFERROR(INDEX('ORG-Metrics'!$A$1:$U$38,MATCH($C13,'ORG-Metrics'!$A$1:$A$38,0),MATCH(O$1,'ORG-Metrics'!$1:$1,0)),"")</f>
        <v/>
      </c>
      <c r="P13" s="21" t="str">
        <f>IFERROR(INDEX('ORG-Metrics'!$A$1:$U$38,MATCH($C13,'ORG-Metrics'!$A$1:$A$38,0),MATCH(P$1,'ORG-Metrics'!$1:$1,0)),"")</f>
        <v/>
      </c>
      <c r="Q13" s="21" t="str">
        <f>IFERROR(INDEX('ORG-Metrics'!$A$1:$U$38,MATCH($C13,'ORG-Metrics'!$A$1:$A$38,0),MATCH(Q$1,'ORG-Metrics'!$1:$1,0)),"")</f>
        <v/>
      </c>
      <c r="R13" s="21" t="str">
        <f>IFERROR(INDEX('ORG-Metrics'!$A$1:$U$38,MATCH($C13,'ORG-Metrics'!$A$1:$A$38,0),MATCH(R$1,'ORG-Metrics'!$1:$1,0)),"")</f>
        <v/>
      </c>
      <c r="S13" s="21" t="str">
        <f>IFERROR(INDEX('ORG-Metrics'!$A$1:$U$38,MATCH($C13,'ORG-Metrics'!$A$1:$A$38,0),MATCH(S$1,'ORG-Metrics'!$1:$1,0)),"")</f>
        <v/>
      </c>
      <c r="T13" s="21" t="str">
        <f>IFERROR(INDEX('ORG-Metrics'!$A$1:$U$38,MATCH($C13,'ORG-Metrics'!$A$1:$A$38,0),MATCH(T$1,'ORG-Metrics'!$1:$1,0)),"")</f>
        <v/>
      </c>
      <c r="U13" s="21" t="str">
        <f>IFERROR(INDEX('ORG-Metrics'!$A$1:$U$38,MATCH($C13,'ORG-Metrics'!$A$1:$A$38,0),MATCH(U$1,'ORG-Metrics'!$1:$1,0)),"")</f>
        <v/>
      </c>
      <c r="V13" t="str">
        <f>IFERROR(INDEX('ORG-Metrics'!$A$1:$U$38,MATCH($C13,'ORG-Metrics'!$A$1:$A$38,0),MATCH(V$1,'ORG-Metrics'!$1:$1,0)),"")</f>
        <v/>
      </c>
      <c r="W13" t="str">
        <f>IFERROR(INDEX('ORG-Metrics'!$A$1:$U$38,MATCH($C13,'ORG-Metrics'!$A$1:$A$38,0),MATCH(W$1,'ORG-Metrics'!$1:$1,0)),"")</f>
        <v/>
      </c>
    </row>
    <row r="14" spans="1:23" x14ac:dyDescent="0.3">
      <c r="A14" s="18"/>
      <c r="D14" s="21" t="str">
        <f>IFERROR(INDEX('ORG-Metrics'!$A$1:$U$38,MATCH($C14,'ORG-Metrics'!$A$1:$A$38,0),MATCH(D$1,'ORG-Metrics'!$1:$1,0)),"")</f>
        <v/>
      </c>
      <c r="E14" s="21" t="str">
        <f>IFERROR(INDEX('ORG-Metrics'!$A$1:$U$38,MATCH($C14,'ORG-Metrics'!$A$1:$A$38,0),MATCH(E$1,'ORG-Metrics'!$1:$1,0)),"")</f>
        <v/>
      </c>
      <c r="F14" s="21" t="str">
        <f>IFERROR(INDEX('ORG-Metrics'!$A$1:$U$38,MATCH($C14,'ORG-Metrics'!$A$1:$A$38,0),MATCH(F$1,'ORG-Metrics'!$1:$1,0)),"")</f>
        <v/>
      </c>
      <c r="G14" s="21" t="str">
        <f>IFERROR(INDEX('ORG-Metrics'!$A$1:$U$38,MATCH($C14,'ORG-Metrics'!$A$1:$A$38,0),MATCH(G$1,'ORG-Metrics'!$1:$1,0)),"")</f>
        <v/>
      </c>
      <c r="H14" s="21" t="str">
        <f>IFERROR(INDEX('ORG-Metrics'!$A$1:$U$38,MATCH($C14,'ORG-Metrics'!$A$1:$A$38,0),MATCH(H$1,'ORG-Metrics'!$1:$1,0)),"")</f>
        <v/>
      </c>
      <c r="I14" s="21" t="str">
        <f>IFERROR(INDEX('ORG-Metrics'!$A$1:$U$38,MATCH($C14,'ORG-Metrics'!$A$1:$A$38,0),MATCH(I$1,'ORG-Metrics'!$1:$1,0)),"")</f>
        <v/>
      </c>
      <c r="J14" s="21" t="str">
        <f>IFERROR(INDEX('ORG-Metrics'!$A$1:$U$38,MATCH($C14,'ORG-Metrics'!$A$1:$A$38,0),MATCH(J$1,'ORG-Metrics'!$1:$1,0)),"")</f>
        <v/>
      </c>
      <c r="K14" s="21" t="str">
        <f>IFERROR(INDEX('ORG-Metrics'!$A$1:$U$38,MATCH($C14,'ORG-Metrics'!$A$1:$A$38,0),MATCH(K$1,'ORG-Metrics'!$1:$1,0)),"")</f>
        <v/>
      </c>
      <c r="L14" s="21" t="str">
        <f>IFERROR(INDEX('ORG-Metrics'!$A$1:$U$38,MATCH($C14,'ORG-Metrics'!$A$1:$A$38,0),MATCH(L$1,'ORG-Metrics'!$1:$1,0)),"")</f>
        <v/>
      </c>
      <c r="M14" s="21" t="str">
        <f>IFERROR(INDEX('ORG-Metrics'!$A$1:$U$38,MATCH($C14,'ORG-Metrics'!$A$1:$A$38,0),MATCH(M$1,'ORG-Metrics'!$1:$1,0)),"")</f>
        <v/>
      </c>
      <c r="N14" s="21" t="str">
        <f>IFERROR(INDEX('ORG-Metrics'!$A$1:$U$38,MATCH($C14,'ORG-Metrics'!$A$1:$A$38,0),MATCH(N$1,'ORG-Metrics'!$1:$1,0)),"")</f>
        <v/>
      </c>
      <c r="O14" s="21" t="str">
        <f>IFERROR(INDEX('ORG-Metrics'!$A$1:$U$38,MATCH($C14,'ORG-Metrics'!$A$1:$A$38,0),MATCH(O$1,'ORG-Metrics'!$1:$1,0)),"")</f>
        <v/>
      </c>
      <c r="P14" s="21" t="str">
        <f>IFERROR(INDEX('ORG-Metrics'!$A$1:$U$38,MATCH($C14,'ORG-Metrics'!$A$1:$A$38,0),MATCH(P$1,'ORG-Metrics'!$1:$1,0)),"")</f>
        <v/>
      </c>
      <c r="Q14" s="21" t="str">
        <f>IFERROR(INDEX('ORG-Metrics'!$A$1:$U$38,MATCH($C14,'ORG-Metrics'!$A$1:$A$38,0),MATCH(Q$1,'ORG-Metrics'!$1:$1,0)),"")</f>
        <v/>
      </c>
      <c r="R14" s="21" t="str">
        <f>IFERROR(INDEX('ORG-Metrics'!$A$1:$U$38,MATCH($C14,'ORG-Metrics'!$A$1:$A$38,0),MATCH(R$1,'ORG-Metrics'!$1:$1,0)),"")</f>
        <v/>
      </c>
      <c r="S14" s="21" t="str">
        <f>IFERROR(INDEX('ORG-Metrics'!$A$1:$U$38,MATCH($C14,'ORG-Metrics'!$A$1:$A$38,0),MATCH(S$1,'ORG-Metrics'!$1:$1,0)),"")</f>
        <v/>
      </c>
      <c r="T14" s="21" t="str">
        <f>IFERROR(INDEX('ORG-Metrics'!$A$1:$U$38,MATCH($C14,'ORG-Metrics'!$A$1:$A$38,0),MATCH(T$1,'ORG-Metrics'!$1:$1,0)),"")</f>
        <v/>
      </c>
      <c r="U14" s="21" t="str">
        <f>IFERROR(INDEX('ORG-Metrics'!$A$1:$U$38,MATCH($C14,'ORG-Metrics'!$A$1:$A$38,0),MATCH(U$1,'ORG-Metrics'!$1:$1,0)),"")</f>
        <v/>
      </c>
      <c r="V14" t="str">
        <f>IFERROR(INDEX('ORG-Metrics'!$A$1:$U$38,MATCH($C14,'ORG-Metrics'!$A$1:$A$38,0),MATCH(V$1,'ORG-Metrics'!$1:$1,0)),"")</f>
        <v/>
      </c>
      <c r="W14" t="str">
        <f>IFERROR(INDEX('ORG-Metrics'!$A$1:$U$38,MATCH($C14,'ORG-Metrics'!$A$1:$A$38,0),MATCH(W$1,'ORG-Metrics'!$1:$1,0)),"")</f>
        <v/>
      </c>
    </row>
    <row r="15" spans="1:23" x14ac:dyDescent="0.3">
      <c r="A15" s="18"/>
      <c r="D15" s="21" t="str">
        <f>IFERROR(INDEX('ORG-Metrics'!$A$1:$U$38,MATCH($C15,'ORG-Metrics'!$A$1:$A$38,0),MATCH(D$1,'ORG-Metrics'!$1:$1,0)),"")</f>
        <v/>
      </c>
      <c r="E15" s="21" t="str">
        <f>IFERROR(INDEX('ORG-Metrics'!$A$1:$U$38,MATCH($C15,'ORG-Metrics'!$A$1:$A$38,0),MATCH(E$1,'ORG-Metrics'!$1:$1,0)),"")</f>
        <v/>
      </c>
      <c r="F15" s="21" t="str">
        <f>IFERROR(INDEX('ORG-Metrics'!$A$1:$U$38,MATCH($C15,'ORG-Metrics'!$A$1:$A$38,0),MATCH(F$1,'ORG-Metrics'!$1:$1,0)),"")</f>
        <v/>
      </c>
      <c r="G15" s="21" t="str">
        <f>IFERROR(INDEX('ORG-Metrics'!$A$1:$U$38,MATCH($C15,'ORG-Metrics'!$A$1:$A$38,0),MATCH(G$1,'ORG-Metrics'!$1:$1,0)),"")</f>
        <v/>
      </c>
      <c r="H15" s="21" t="str">
        <f>IFERROR(INDEX('ORG-Metrics'!$A$1:$U$38,MATCH($C15,'ORG-Metrics'!$A$1:$A$38,0),MATCH(H$1,'ORG-Metrics'!$1:$1,0)),"")</f>
        <v/>
      </c>
      <c r="I15" s="21" t="str">
        <f>IFERROR(INDEX('ORG-Metrics'!$A$1:$U$38,MATCH($C15,'ORG-Metrics'!$A$1:$A$38,0),MATCH(I$1,'ORG-Metrics'!$1:$1,0)),"")</f>
        <v/>
      </c>
      <c r="J15" s="21" t="str">
        <f>IFERROR(INDEX('ORG-Metrics'!$A$1:$U$38,MATCH($C15,'ORG-Metrics'!$A$1:$A$38,0),MATCH(J$1,'ORG-Metrics'!$1:$1,0)),"")</f>
        <v/>
      </c>
      <c r="K15" s="21" t="str">
        <f>IFERROR(INDEX('ORG-Metrics'!$A$1:$U$38,MATCH($C15,'ORG-Metrics'!$A$1:$A$38,0),MATCH(K$1,'ORG-Metrics'!$1:$1,0)),"")</f>
        <v/>
      </c>
      <c r="L15" s="21" t="str">
        <f>IFERROR(INDEX('ORG-Metrics'!$A$1:$U$38,MATCH($C15,'ORG-Metrics'!$A$1:$A$38,0),MATCH(L$1,'ORG-Metrics'!$1:$1,0)),"")</f>
        <v/>
      </c>
      <c r="M15" s="21" t="str">
        <f>IFERROR(INDEX('ORG-Metrics'!$A$1:$U$38,MATCH($C15,'ORG-Metrics'!$A$1:$A$38,0),MATCH(M$1,'ORG-Metrics'!$1:$1,0)),"")</f>
        <v/>
      </c>
      <c r="N15" s="21" t="str">
        <f>IFERROR(INDEX('ORG-Metrics'!$A$1:$U$38,MATCH($C15,'ORG-Metrics'!$A$1:$A$38,0),MATCH(N$1,'ORG-Metrics'!$1:$1,0)),"")</f>
        <v/>
      </c>
      <c r="O15" s="21" t="str">
        <f>IFERROR(INDEX('ORG-Metrics'!$A$1:$U$38,MATCH($C15,'ORG-Metrics'!$A$1:$A$38,0),MATCH(O$1,'ORG-Metrics'!$1:$1,0)),"")</f>
        <v/>
      </c>
      <c r="P15" s="21" t="str">
        <f>IFERROR(INDEX('ORG-Metrics'!$A$1:$U$38,MATCH($C15,'ORG-Metrics'!$A$1:$A$38,0),MATCH(P$1,'ORG-Metrics'!$1:$1,0)),"")</f>
        <v/>
      </c>
      <c r="Q15" s="21" t="str">
        <f>IFERROR(INDEX('ORG-Metrics'!$A$1:$U$38,MATCH($C15,'ORG-Metrics'!$A$1:$A$38,0),MATCH(Q$1,'ORG-Metrics'!$1:$1,0)),"")</f>
        <v/>
      </c>
      <c r="R15" s="21" t="str">
        <f>IFERROR(INDEX('ORG-Metrics'!$A$1:$U$38,MATCH($C15,'ORG-Metrics'!$A$1:$A$38,0),MATCH(R$1,'ORG-Metrics'!$1:$1,0)),"")</f>
        <v/>
      </c>
      <c r="S15" s="21" t="str">
        <f>IFERROR(INDEX('ORG-Metrics'!$A$1:$U$38,MATCH($C15,'ORG-Metrics'!$A$1:$A$38,0),MATCH(S$1,'ORG-Metrics'!$1:$1,0)),"")</f>
        <v/>
      </c>
      <c r="T15" s="21" t="str">
        <f>IFERROR(INDEX('ORG-Metrics'!$A$1:$U$38,MATCH($C15,'ORG-Metrics'!$A$1:$A$38,0),MATCH(T$1,'ORG-Metrics'!$1:$1,0)),"")</f>
        <v/>
      </c>
      <c r="U15" s="21" t="str">
        <f>IFERROR(INDEX('ORG-Metrics'!$A$1:$U$38,MATCH($C15,'ORG-Metrics'!$A$1:$A$38,0),MATCH(U$1,'ORG-Metrics'!$1:$1,0)),"")</f>
        <v/>
      </c>
      <c r="V15" t="str">
        <f>IFERROR(INDEX('ORG-Metrics'!$A$1:$U$38,MATCH($C15,'ORG-Metrics'!$A$1:$A$38,0),MATCH(V$1,'ORG-Metrics'!$1:$1,0)),"")</f>
        <v/>
      </c>
      <c r="W15" t="str">
        <f>IFERROR(INDEX('ORG-Metrics'!$A$1:$U$38,MATCH($C15,'ORG-Metrics'!$A$1:$A$38,0),MATCH(W$1,'ORG-Metrics'!$1:$1,0)),"")</f>
        <v/>
      </c>
    </row>
    <row r="16" spans="1:23" x14ac:dyDescent="0.3">
      <c r="A16" s="18"/>
      <c r="D16" s="21" t="str">
        <f>IFERROR(INDEX('ORG-Metrics'!$A$1:$U$38,MATCH($C16,'ORG-Metrics'!$A$1:$A$38,0),MATCH(D$1,'ORG-Metrics'!$1:$1,0)),"")</f>
        <v/>
      </c>
      <c r="E16" s="21" t="str">
        <f>IFERROR(INDEX('ORG-Metrics'!$A$1:$U$38,MATCH($C16,'ORG-Metrics'!$A$1:$A$38,0),MATCH(E$1,'ORG-Metrics'!$1:$1,0)),"")</f>
        <v/>
      </c>
      <c r="F16" s="21" t="str">
        <f>IFERROR(INDEX('ORG-Metrics'!$A$1:$U$38,MATCH($C16,'ORG-Metrics'!$A$1:$A$38,0),MATCH(F$1,'ORG-Metrics'!$1:$1,0)),"")</f>
        <v/>
      </c>
      <c r="G16" s="21" t="str">
        <f>IFERROR(INDEX('ORG-Metrics'!$A$1:$U$38,MATCH($C16,'ORG-Metrics'!$A$1:$A$38,0),MATCH(G$1,'ORG-Metrics'!$1:$1,0)),"")</f>
        <v/>
      </c>
      <c r="H16" s="21" t="str">
        <f>IFERROR(INDEX('ORG-Metrics'!$A$1:$U$38,MATCH($C16,'ORG-Metrics'!$A$1:$A$38,0),MATCH(H$1,'ORG-Metrics'!$1:$1,0)),"")</f>
        <v/>
      </c>
      <c r="I16" s="21" t="str">
        <f>IFERROR(INDEX('ORG-Metrics'!$A$1:$U$38,MATCH($C16,'ORG-Metrics'!$A$1:$A$38,0),MATCH(I$1,'ORG-Metrics'!$1:$1,0)),"")</f>
        <v/>
      </c>
      <c r="J16" s="21" t="str">
        <f>IFERROR(INDEX('ORG-Metrics'!$A$1:$U$38,MATCH($C16,'ORG-Metrics'!$A$1:$A$38,0),MATCH(J$1,'ORG-Metrics'!$1:$1,0)),"")</f>
        <v/>
      </c>
      <c r="K16" s="21" t="str">
        <f>IFERROR(INDEX('ORG-Metrics'!$A$1:$U$38,MATCH($C16,'ORG-Metrics'!$A$1:$A$38,0),MATCH(K$1,'ORG-Metrics'!$1:$1,0)),"")</f>
        <v/>
      </c>
      <c r="L16" s="21" t="str">
        <f>IFERROR(INDEX('ORG-Metrics'!$A$1:$U$38,MATCH($C16,'ORG-Metrics'!$A$1:$A$38,0),MATCH(L$1,'ORG-Metrics'!$1:$1,0)),"")</f>
        <v/>
      </c>
      <c r="M16" s="21" t="str">
        <f>IFERROR(INDEX('ORG-Metrics'!$A$1:$U$38,MATCH($C16,'ORG-Metrics'!$A$1:$A$38,0),MATCH(M$1,'ORG-Metrics'!$1:$1,0)),"")</f>
        <v/>
      </c>
      <c r="N16" s="21" t="str">
        <f>IFERROR(INDEX('ORG-Metrics'!$A$1:$U$38,MATCH($C16,'ORG-Metrics'!$A$1:$A$38,0),MATCH(N$1,'ORG-Metrics'!$1:$1,0)),"")</f>
        <v/>
      </c>
      <c r="O16" s="21" t="str">
        <f>IFERROR(INDEX('ORG-Metrics'!$A$1:$U$38,MATCH($C16,'ORG-Metrics'!$A$1:$A$38,0),MATCH(O$1,'ORG-Metrics'!$1:$1,0)),"")</f>
        <v/>
      </c>
      <c r="P16" s="21" t="str">
        <f>IFERROR(INDEX('ORG-Metrics'!$A$1:$U$38,MATCH($C16,'ORG-Metrics'!$A$1:$A$38,0),MATCH(P$1,'ORG-Metrics'!$1:$1,0)),"")</f>
        <v/>
      </c>
      <c r="Q16" s="21" t="str">
        <f>IFERROR(INDEX('ORG-Metrics'!$A$1:$U$38,MATCH($C16,'ORG-Metrics'!$A$1:$A$38,0),MATCH(Q$1,'ORG-Metrics'!$1:$1,0)),"")</f>
        <v/>
      </c>
      <c r="R16" s="21" t="str">
        <f>IFERROR(INDEX('ORG-Metrics'!$A$1:$U$38,MATCH($C16,'ORG-Metrics'!$A$1:$A$38,0),MATCH(R$1,'ORG-Metrics'!$1:$1,0)),"")</f>
        <v/>
      </c>
      <c r="S16" s="21" t="str">
        <f>IFERROR(INDEX('ORG-Metrics'!$A$1:$U$38,MATCH($C16,'ORG-Metrics'!$A$1:$A$38,0),MATCH(S$1,'ORG-Metrics'!$1:$1,0)),"")</f>
        <v/>
      </c>
      <c r="T16" s="21" t="str">
        <f>IFERROR(INDEX('ORG-Metrics'!$A$1:$U$38,MATCH($C16,'ORG-Metrics'!$A$1:$A$38,0),MATCH(T$1,'ORG-Metrics'!$1:$1,0)),"")</f>
        <v/>
      </c>
      <c r="U16" s="21" t="str">
        <f>IFERROR(INDEX('ORG-Metrics'!$A$1:$U$38,MATCH($C16,'ORG-Metrics'!$A$1:$A$38,0),MATCH(U$1,'ORG-Metrics'!$1:$1,0)),"")</f>
        <v/>
      </c>
      <c r="V16" t="str">
        <f>IFERROR(INDEX('ORG-Metrics'!$A$1:$U$38,MATCH($C16,'ORG-Metrics'!$A$1:$A$38,0),MATCH(V$1,'ORG-Metrics'!$1:$1,0)),"")</f>
        <v/>
      </c>
      <c r="W16" t="str">
        <f>IFERROR(INDEX('ORG-Metrics'!$A$1:$U$38,MATCH($C16,'ORG-Metrics'!$A$1:$A$38,0),MATCH(W$1,'ORG-Metrics'!$1:$1,0)),"")</f>
        <v/>
      </c>
    </row>
    <row r="17" spans="1:23" x14ac:dyDescent="0.3">
      <c r="A17" s="18"/>
      <c r="D17" s="21" t="str">
        <f>IFERROR(INDEX('ORG-Metrics'!$A$1:$U$38,MATCH($C17,'ORG-Metrics'!$A$1:$A$38,0),MATCH(D$1,'ORG-Metrics'!$1:$1,0)),"")</f>
        <v/>
      </c>
      <c r="E17" s="21" t="str">
        <f>IFERROR(INDEX('ORG-Metrics'!$A$1:$U$38,MATCH($C17,'ORG-Metrics'!$A$1:$A$38,0),MATCH(E$1,'ORG-Metrics'!$1:$1,0)),"")</f>
        <v/>
      </c>
      <c r="F17" s="21" t="str">
        <f>IFERROR(INDEX('ORG-Metrics'!$A$1:$U$38,MATCH($C17,'ORG-Metrics'!$A$1:$A$38,0),MATCH(F$1,'ORG-Metrics'!$1:$1,0)),"")</f>
        <v/>
      </c>
      <c r="G17" s="21" t="str">
        <f>IFERROR(INDEX('ORG-Metrics'!$A$1:$U$38,MATCH($C17,'ORG-Metrics'!$A$1:$A$38,0),MATCH(G$1,'ORG-Metrics'!$1:$1,0)),"")</f>
        <v/>
      </c>
      <c r="H17" s="21" t="str">
        <f>IFERROR(INDEX('ORG-Metrics'!$A$1:$U$38,MATCH($C17,'ORG-Metrics'!$A$1:$A$38,0),MATCH(H$1,'ORG-Metrics'!$1:$1,0)),"")</f>
        <v/>
      </c>
      <c r="I17" s="21" t="str">
        <f>IFERROR(INDEX('ORG-Metrics'!$A$1:$U$38,MATCH($C17,'ORG-Metrics'!$A$1:$A$38,0),MATCH(I$1,'ORG-Metrics'!$1:$1,0)),"")</f>
        <v/>
      </c>
      <c r="J17" s="21" t="str">
        <f>IFERROR(INDEX('ORG-Metrics'!$A$1:$U$38,MATCH($C17,'ORG-Metrics'!$A$1:$A$38,0),MATCH(J$1,'ORG-Metrics'!$1:$1,0)),"")</f>
        <v/>
      </c>
      <c r="K17" s="21" t="str">
        <f>IFERROR(INDEX('ORG-Metrics'!$A$1:$U$38,MATCH($C17,'ORG-Metrics'!$A$1:$A$38,0),MATCH(K$1,'ORG-Metrics'!$1:$1,0)),"")</f>
        <v/>
      </c>
      <c r="L17" s="21" t="str">
        <f>IFERROR(INDEX('ORG-Metrics'!$A$1:$U$38,MATCH($C17,'ORG-Metrics'!$A$1:$A$38,0),MATCH(L$1,'ORG-Metrics'!$1:$1,0)),"")</f>
        <v/>
      </c>
      <c r="M17" s="21" t="str">
        <f>IFERROR(INDEX('ORG-Metrics'!$A$1:$U$38,MATCH($C17,'ORG-Metrics'!$A$1:$A$38,0),MATCH(M$1,'ORG-Metrics'!$1:$1,0)),"")</f>
        <v/>
      </c>
      <c r="N17" s="21" t="str">
        <f>IFERROR(INDEX('ORG-Metrics'!$A$1:$U$38,MATCH($C17,'ORG-Metrics'!$A$1:$A$38,0),MATCH(N$1,'ORG-Metrics'!$1:$1,0)),"")</f>
        <v/>
      </c>
      <c r="O17" s="21" t="str">
        <f>IFERROR(INDEX('ORG-Metrics'!$A$1:$U$38,MATCH($C17,'ORG-Metrics'!$A$1:$A$38,0),MATCH(O$1,'ORG-Metrics'!$1:$1,0)),"")</f>
        <v/>
      </c>
      <c r="P17" s="21" t="str">
        <f>IFERROR(INDEX('ORG-Metrics'!$A$1:$U$38,MATCH($C17,'ORG-Metrics'!$A$1:$A$38,0),MATCH(P$1,'ORG-Metrics'!$1:$1,0)),"")</f>
        <v/>
      </c>
      <c r="Q17" s="21" t="str">
        <f>IFERROR(INDEX('ORG-Metrics'!$A$1:$U$38,MATCH($C17,'ORG-Metrics'!$A$1:$A$38,0),MATCH(Q$1,'ORG-Metrics'!$1:$1,0)),"")</f>
        <v/>
      </c>
      <c r="R17" s="21" t="str">
        <f>IFERROR(INDEX('ORG-Metrics'!$A$1:$U$38,MATCH($C17,'ORG-Metrics'!$A$1:$A$38,0),MATCH(R$1,'ORG-Metrics'!$1:$1,0)),"")</f>
        <v/>
      </c>
      <c r="S17" s="21" t="str">
        <f>IFERROR(INDEX('ORG-Metrics'!$A$1:$U$38,MATCH($C17,'ORG-Metrics'!$A$1:$A$38,0),MATCH(S$1,'ORG-Metrics'!$1:$1,0)),"")</f>
        <v/>
      </c>
      <c r="T17" s="21" t="str">
        <f>IFERROR(INDEX('ORG-Metrics'!$A$1:$U$38,MATCH($C17,'ORG-Metrics'!$A$1:$A$38,0),MATCH(T$1,'ORG-Metrics'!$1:$1,0)),"")</f>
        <v/>
      </c>
      <c r="U17" s="21" t="str">
        <f>IFERROR(INDEX('ORG-Metrics'!$A$1:$U$38,MATCH($C17,'ORG-Metrics'!$A$1:$A$38,0),MATCH(U$1,'ORG-Metrics'!$1:$1,0)),"")</f>
        <v/>
      </c>
      <c r="V17" t="str">
        <f>IFERROR(INDEX('ORG-Metrics'!$A$1:$U$38,MATCH($C17,'ORG-Metrics'!$A$1:$A$38,0),MATCH(V$1,'ORG-Metrics'!$1:$1,0)),"")</f>
        <v/>
      </c>
      <c r="W17" t="str">
        <f>IFERROR(INDEX('ORG-Metrics'!$A$1:$U$38,MATCH($C17,'ORG-Metrics'!$A$1:$A$38,0),MATCH(W$1,'ORG-Metrics'!$1:$1,0)),"")</f>
        <v/>
      </c>
    </row>
    <row r="18" spans="1:23" x14ac:dyDescent="0.3">
      <c r="A18" s="18"/>
      <c r="D18" s="21" t="str">
        <f>IFERROR(INDEX('ORG-Metrics'!$A$1:$U$38,MATCH($C18,'ORG-Metrics'!$A$1:$A$38,0),MATCH(D$1,'ORG-Metrics'!$1:$1,0)),"")</f>
        <v/>
      </c>
      <c r="E18" s="21" t="str">
        <f>IFERROR(INDEX('ORG-Metrics'!$A$1:$U$38,MATCH($C18,'ORG-Metrics'!$A$1:$A$38,0),MATCH(E$1,'ORG-Metrics'!$1:$1,0)),"")</f>
        <v/>
      </c>
      <c r="F18" s="21" t="str">
        <f>IFERROR(INDEX('ORG-Metrics'!$A$1:$U$38,MATCH($C18,'ORG-Metrics'!$A$1:$A$38,0),MATCH(F$1,'ORG-Metrics'!$1:$1,0)),"")</f>
        <v/>
      </c>
      <c r="G18" s="21" t="str">
        <f>IFERROR(INDEX('ORG-Metrics'!$A$1:$U$38,MATCH($C18,'ORG-Metrics'!$A$1:$A$38,0),MATCH(G$1,'ORG-Metrics'!$1:$1,0)),"")</f>
        <v/>
      </c>
      <c r="H18" s="21" t="str">
        <f>IFERROR(INDEX('ORG-Metrics'!$A$1:$U$38,MATCH($C18,'ORG-Metrics'!$A$1:$A$38,0),MATCH(H$1,'ORG-Metrics'!$1:$1,0)),"")</f>
        <v/>
      </c>
      <c r="I18" s="21" t="str">
        <f>IFERROR(INDEX('ORG-Metrics'!$A$1:$U$38,MATCH($C18,'ORG-Metrics'!$A$1:$A$38,0),MATCH(I$1,'ORG-Metrics'!$1:$1,0)),"")</f>
        <v/>
      </c>
      <c r="J18" s="21" t="str">
        <f>IFERROR(INDEX('ORG-Metrics'!$A$1:$U$38,MATCH($C18,'ORG-Metrics'!$A$1:$A$38,0),MATCH(J$1,'ORG-Metrics'!$1:$1,0)),"")</f>
        <v/>
      </c>
      <c r="K18" s="21" t="str">
        <f>IFERROR(INDEX('ORG-Metrics'!$A$1:$U$38,MATCH($C18,'ORG-Metrics'!$A$1:$A$38,0),MATCH(K$1,'ORG-Metrics'!$1:$1,0)),"")</f>
        <v/>
      </c>
      <c r="L18" s="21" t="str">
        <f>IFERROR(INDEX('ORG-Metrics'!$A$1:$U$38,MATCH($C18,'ORG-Metrics'!$A$1:$A$38,0),MATCH(L$1,'ORG-Metrics'!$1:$1,0)),"")</f>
        <v/>
      </c>
      <c r="M18" s="21" t="str">
        <f>IFERROR(INDEX('ORG-Metrics'!$A$1:$U$38,MATCH($C18,'ORG-Metrics'!$A$1:$A$38,0),MATCH(M$1,'ORG-Metrics'!$1:$1,0)),"")</f>
        <v/>
      </c>
      <c r="N18" s="21" t="str">
        <f>IFERROR(INDEX('ORG-Metrics'!$A$1:$U$38,MATCH($C18,'ORG-Metrics'!$A$1:$A$38,0),MATCH(N$1,'ORG-Metrics'!$1:$1,0)),"")</f>
        <v/>
      </c>
      <c r="O18" s="21" t="str">
        <f>IFERROR(INDEX('ORG-Metrics'!$A$1:$U$38,MATCH($C18,'ORG-Metrics'!$A$1:$A$38,0),MATCH(O$1,'ORG-Metrics'!$1:$1,0)),"")</f>
        <v/>
      </c>
      <c r="P18" s="21" t="str">
        <f>IFERROR(INDEX('ORG-Metrics'!$A$1:$U$38,MATCH($C18,'ORG-Metrics'!$A$1:$A$38,0),MATCH(P$1,'ORG-Metrics'!$1:$1,0)),"")</f>
        <v/>
      </c>
      <c r="Q18" s="21" t="str">
        <f>IFERROR(INDEX('ORG-Metrics'!$A$1:$U$38,MATCH($C18,'ORG-Metrics'!$A$1:$A$38,0),MATCH(Q$1,'ORG-Metrics'!$1:$1,0)),"")</f>
        <v/>
      </c>
      <c r="R18" s="21" t="str">
        <f>IFERROR(INDEX('ORG-Metrics'!$A$1:$U$38,MATCH($C18,'ORG-Metrics'!$A$1:$A$38,0),MATCH(R$1,'ORG-Metrics'!$1:$1,0)),"")</f>
        <v/>
      </c>
      <c r="S18" s="21" t="str">
        <f>IFERROR(INDEX('ORG-Metrics'!$A$1:$U$38,MATCH($C18,'ORG-Metrics'!$A$1:$A$38,0),MATCH(S$1,'ORG-Metrics'!$1:$1,0)),"")</f>
        <v/>
      </c>
      <c r="T18" s="21" t="str">
        <f>IFERROR(INDEX('ORG-Metrics'!$A$1:$U$38,MATCH($C18,'ORG-Metrics'!$A$1:$A$38,0),MATCH(T$1,'ORG-Metrics'!$1:$1,0)),"")</f>
        <v/>
      </c>
      <c r="U18" s="21" t="str">
        <f>IFERROR(INDEX('ORG-Metrics'!$A$1:$U$38,MATCH($C18,'ORG-Metrics'!$A$1:$A$38,0),MATCH(U$1,'ORG-Metrics'!$1:$1,0)),"")</f>
        <v/>
      </c>
      <c r="V18" t="str">
        <f>IFERROR(INDEX('ORG-Metrics'!$A$1:$U$38,MATCH($C18,'ORG-Metrics'!$A$1:$A$38,0),MATCH(V$1,'ORG-Metrics'!$1:$1,0)),"")</f>
        <v/>
      </c>
      <c r="W18" t="str">
        <f>IFERROR(INDEX('ORG-Metrics'!$A$1:$U$38,MATCH($C18,'ORG-Metrics'!$A$1:$A$38,0),MATCH(W$1,'ORG-Metrics'!$1:$1,0)),"")</f>
        <v/>
      </c>
    </row>
    <row r="19" spans="1:23" x14ac:dyDescent="0.3">
      <c r="A19" s="18"/>
      <c r="D19" s="21" t="str">
        <f>IFERROR(INDEX('ORG-Metrics'!$A$1:$U$38,MATCH($C19,'ORG-Metrics'!$A$1:$A$38,0),MATCH(D$1,'ORG-Metrics'!$1:$1,0)),"")</f>
        <v/>
      </c>
      <c r="E19" s="21" t="str">
        <f>IFERROR(INDEX('ORG-Metrics'!$A$1:$U$38,MATCH($C19,'ORG-Metrics'!$A$1:$A$38,0),MATCH(E$1,'ORG-Metrics'!$1:$1,0)),"")</f>
        <v/>
      </c>
      <c r="F19" s="21" t="str">
        <f>IFERROR(INDEX('ORG-Metrics'!$A$1:$U$38,MATCH($C19,'ORG-Metrics'!$A$1:$A$38,0),MATCH(F$1,'ORG-Metrics'!$1:$1,0)),"")</f>
        <v/>
      </c>
      <c r="G19" s="21" t="str">
        <f>IFERROR(INDEX('ORG-Metrics'!$A$1:$U$38,MATCH($C19,'ORG-Metrics'!$A$1:$A$38,0),MATCH(G$1,'ORG-Metrics'!$1:$1,0)),"")</f>
        <v/>
      </c>
      <c r="H19" s="21" t="str">
        <f>IFERROR(INDEX('ORG-Metrics'!$A$1:$U$38,MATCH($C19,'ORG-Metrics'!$A$1:$A$38,0),MATCH(H$1,'ORG-Metrics'!$1:$1,0)),"")</f>
        <v/>
      </c>
      <c r="I19" s="21" t="str">
        <f>IFERROR(INDEX('ORG-Metrics'!$A$1:$U$38,MATCH($C19,'ORG-Metrics'!$A$1:$A$38,0),MATCH(I$1,'ORG-Metrics'!$1:$1,0)),"")</f>
        <v/>
      </c>
      <c r="J19" s="21" t="str">
        <f>IFERROR(INDEX('ORG-Metrics'!$A$1:$U$38,MATCH($C19,'ORG-Metrics'!$A$1:$A$38,0),MATCH(J$1,'ORG-Metrics'!$1:$1,0)),"")</f>
        <v/>
      </c>
      <c r="K19" s="21" t="str">
        <f>IFERROR(INDEX('ORG-Metrics'!$A$1:$U$38,MATCH($C19,'ORG-Metrics'!$A$1:$A$38,0),MATCH(K$1,'ORG-Metrics'!$1:$1,0)),"")</f>
        <v/>
      </c>
      <c r="L19" s="21" t="str">
        <f>IFERROR(INDEX('ORG-Metrics'!$A$1:$U$38,MATCH($C19,'ORG-Metrics'!$A$1:$A$38,0),MATCH(L$1,'ORG-Metrics'!$1:$1,0)),"")</f>
        <v/>
      </c>
      <c r="M19" s="21" t="str">
        <f>IFERROR(INDEX('ORG-Metrics'!$A$1:$U$38,MATCH($C19,'ORG-Metrics'!$A$1:$A$38,0),MATCH(M$1,'ORG-Metrics'!$1:$1,0)),"")</f>
        <v/>
      </c>
      <c r="N19" s="21" t="str">
        <f>IFERROR(INDEX('ORG-Metrics'!$A$1:$U$38,MATCH($C19,'ORG-Metrics'!$A$1:$A$38,0),MATCH(N$1,'ORG-Metrics'!$1:$1,0)),"")</f>
        <v/>
      </c>
      <c r="O19" s="21" t="str">
        <f>IFERROR(INDEX('ORG-Metrics'!$A$1:$U$38,MATCH($C19,'ORG-Metrics'!$A$1:$A$38,0),MATCH(O$1,'ORG-Metrics'!$1:$1,0)),"")</f>
        <v/>
      </c>
      <c r="P19" s="21" t="str">
        <f>IFERROR(INDEX('ORG-Metrics'!$A$1:$U$38,MATCH($C19,'ORG-Metrics'!$A$1:$A$38,0),MATCH(P$1,'ORG-Metrics'!$1:$1,0)),"")</f>
        <v/>
      </c>
      <c r="Q19" s="21" t="str">
        <f>IFERROR(INDEX('ORG-Metrics'!$A$1:$U$38,MATCH($C19,'ORG-Metrics'!$A$1:$A$38,0),MATCH(Q$1,'ORG-Metrics'!$1:$1,0)),"")</f>
        <v/>
      </c>
      <c r="R19" s="21" t="str">
        <f>IFERROR(INDEX('ORG-Metrics'!$A$1:$U$38,MATCH($C19,'ORG-Metrics'!$A$1:$A$38,0),MATCH(R$1,'ORG-Metrics'!$1:$1,0)),"")</f>
        <v/>
      </c>
      <c r="S19" s="21" t="str">
        <f>IFERROR(INDEX('ORG-Metrics'!$A$1:$U$38,MATCH($C19,'ORG-Metrics'!$A$1:$A$38,0),MATCH(S$1,'ORG-Metrics'!$1:$1,0)),"")</f>
        <v/>
      </c>
      <c r="T19" s="21" t="str">
        <f>IFERROR(INDEX('ORG-Metrics'!$A$1:$U$38,MATCH($C19,'ORG-Metrics'!$A$1:$A$38,0),MATCH(T$1,'ORG-Metrics'!$1:$1,0)),"")</f>
        <v/>
      </c>
      <c r="U19" s="21" t="str">
        <f>IFERROR(INDEX('ORG-Metrics'!$A$1:$U$38,MATCH($C19,'ORG-Metrics'!$A$1:$A$38,0),MATCH(U$1,'ORG-Metrics'!$1:$1,0)),"")</f>
        <v/>
      </c>
      <c r="V19" t="str">
        <f>IFERROR(INDEX('ORG-Metrics'!$A$1:$U$38,MATCH($C19,'ORG-Metrics'!$A$1:$A$38,0),MATCH(V$1,'ORG-Metrics'!$1:$1,0)),"")</f>
        <v/>
      </c>
      <c r="W19" t="str">
        <f>IFERROR(INDEX('ORG-Metrics'!$A$1:$U$38,MATCH($C19,'ORG-Metrics'!$A$1:$A$38,0),MATCH(W$1,'ORG-Metrics'!$1:$1,0)),"")</f>
        <v/>
      </c>
    </row>
    <row r="20" spans="1:23" x14ac:dyDescent="0.3">
      <c r="A20" s="18"/>
      <c r="D20" s="21" t="str">
        <f>IFERROR(INDEX('ORG-Metrics'!$A$1:$U$38,MATCH($C20,'ORG-Metrics'!$A$1:$A$38,0),MATCH(D$1,'ORG-Metrics'!$1:$1,0)),"")</f>
        <v/>
      </c>
      <c r="E20" s="21" t="str">
        <f>IFERROR(INDEX('ORG-Metrics'!$A$1:$U$38,MATCH($C20,'ORG-Metrics'!$A$1:$A$38,0),MATCH(E$1,'ORG-Metrics'!$1:$1,0)),"")</f>
        <v/>
      </c>
      <c r="F20" s="21" t="str">
        <f>IFERROR(INDEX('ORG-Metrics'!$A$1:$U$38,MATCH($C20,'ORG-Metrics'!$A$1:$A$38,0),MATCH(F$1,'ORG-Metrics'!$1:$1,0)),"")</f>
        <v/>
      </c>
      <c r="G20" s="21" t="str">
        <f>IFERROR(INDEX('ORG-Metrics'!$A$1:$U$38,MATCH($C20,'ORG-Metrics'!$A$1:$A$38,0),MATCH(G$1,'ORG-Metrics'!$1:$1,0)),"")</f>
        <v/>
      </c>
      <c r="H20" s="21" t="str">
        <f>IFERROR(INDEX('ORG-Metrics'!$A$1:$U$38,MATCH($C20,'ORG-Metrics'!$A$1:$A$38,0),MATCH(H$1,'ORG-Metrics'!$1:$1,0)),"")</f>
        <v/>
      </c>
      <c r="I20" s="21" t="str">
        <f>IFERROR(INDEX('ORG-Metrics'!$A$1:$U$38,MATCH($C20,'ORG-Metrics'!$A$1:$A$38,0),MATCH(I$1,'ORG-Metrics'!$1:$1,0)),"")</f>
        <v/>
      </c>
      <c r="J20" s="21" t="str">
        <f>IFERROR(INDEX('ORG-Metrics'!$A$1:$U$38,MATCH($C20,'ORG-Metrics'!$A$1:$A$38,0),MATCH(J$1,'ORG-Metrics'!$1:$1,0)),"")</f>
        <v/>
      </c>
      <c r="K20" s="21" t="str">
        <f>IFERROR(INDEX('ORG-Metrics'!$A$1:$U$38,MATCH($C20,'ORG-Metrics'!$A$1:$A$38,0),MATCH(K$1,'ORG-Metrics'!$1:$1,0)),"")</f>
        <v/>
      </c>
      <c r="L20" s="21" t="str">
        <f>IFERROR(INDEX('ORG-Metrics'!$A$1:$U$38,MATCH($C20,'ORG-Metrics'!$A$1:$A$38,0),MATCH(L$1,'ORG-Metrics'!$1:$1,0)),"")</f>
        <v/>
      </c>
      <c r="M20" s="21" t="str">
        <f>IFERROR(INDEX('ORG-Metrics'!$A$1:$U$38,MATCH($C20,'ORG-Metrics'!$A$1:$A$38,0),MATCH(M$1,'ORG-Metrics'!$1:$1,0)),"")</f>
        <v/>
      </c>
      <c r="N20" s="21" t="str">
        <f>IFERROR(INDEX('ORG-Metrics'!$A$1:$U$38,MATCH($C20,'ORG-Metrics'!$A$1:$A$38,0),MATCH(N$1,'ORG-Metrics'!$1:$1,0)),"")</f>
        <v/>
      </c>
      <c r="O20" s="21" t="str">
        <f>IFERROR(INDEX('ORG-Metrics'!$A$1:$U$38,MATCH($C20,'ORG-Metrics'!$A$1:$A$38,0),MATCH(O$1,'ORG-Metrics'!$1:$1,0)),"")</f>
        <v/>
      </c>
      <c r="P20" s="21" t="str">
        <f>IFERROR(INDEX('ORG-Metrics'!$A$1:$U$38,MATCH($C20,'ORG-Metrics'!$A$1:$A$38,0),MATCH(P$1,'ORG-Metrics'!$1:$1,0)),"")</f>
        <v/>
      </c>
      <c r="Q20" s="21" t="str">
        <f>IFERROR(INDEX('ORG-Metrics'!$A$1:$U$38,MATCH($C20,'ORG-Metrics'!$A$1:$A$38,0),MATCH(Q$1,'ORG-Metrics'!$1:$1,0)),"")</f>
        <v/>
      </c>
      <c r="R20" s="21" t="str">
        <f>IFERROR(INDEX('ORG-Metrics'!$A$1:$U$38,MATCH($C20,'ORG-Metrics'!$A$1:$A$38,0),MATCH(R$1,'ORG-Metrics'!$1:$1,0)),"")</f>
        <v/>
      </c>
      <c r="S20" s="21" t="str">
        <f>IFERROR(INDEX('ORG-Metrics'!$A$1:$U$38,MATCH($C20,'ORG-Metrics'!$A$1:$A$38,0),MATCH(S$1,'ORG-Metrics'!$1:$1,0)),"")</f>
        <v/>
      </c>
      <c r="T20" s="21" t="str">
        <f>IFERROR(INDEX('ORG-Metrics'!$A$1:$U$38,MATCH($C20,'ORG-Metrics'!$A$1:$A$38,0),MATCH(T$1,'ORG-Metrics'!$1:$1,0)),"")</f>
        <v/>
      </c>
      <c r="U20" s="21" t="str">
        <f>IFERROR(INDEX('ORG-Metrics'!$A$1:$U$38,MATCH($C20,'ORG-Metrics'!$A$1:$A$38,0),MATCH(U$1,'ORG-Metrics'!$1:$1,0)),"")</f>
        <v/>
      </c>
      <c r="V20" t="str">
        <f>IFERROR(INDEX('ORG-Metrics'!$A$1:$U$38,MATCH($C20,'ORG-Metrics'!$A$1:$A$38,0),MATCH(V$1,'ORG-Metrics'!$1:$1,0)),"")</f>
        <v/>
      </c>
      <c r="W20" t="str">
        <f>IFERROR(INDEX('ORG-Metrics'!$A$1:$U$38,MATCH($C20,'ORG-Metrics'!$A$1:$A$38,0),MATCH(W$1,'ORG-Metrics'!$1:$1,0)),"")</f>
        <v/>
      </c>
    </row>
    <row r="21" spans="1:23" ht="16.2" thickBot="1" x14ac:dyDescent="0.35">
      <c r="A21" s="19"/>
      <c r="D21" s="21" t="str">
        <f>IFERROR(INDEX('ORG-Metrics'!$A$1:$U$38,MATCH($C21,'ORG-Metrics'!$A$1:$A$38,0),MATCH(D$1,'ORG-Metrics'!$1:$1,0)),"")</f>
        <v/>
      </c>
      <c r="E21" s="21" t="str">
        <f>IFERROR(INDEX('ORG-Metrics'!$A$1:$U$38,MATCH($C21,'ORG-Metrics'!$A$1:$A$38,0),MATCH(E$1,'ORG-Metrics'!$1:$1,0)),"")</f>
        <v/>
      </c>
      <c r="F21" s="21" t="str">
        <f>IFERROR(INDEX('ORG-Metrics'!$A$1:$U$38,MATCH($C21,'ORG-Metrics'!$A$1:$A$38,0),MATCH(F$1,'ORG-Metrics'!$1:$1,0)),"")</f>
        <v/>
      </c>
      <c r="G21" s="21" t="str">
        <f>IFERROR(INDEX('ORG-Metrics'!$A$1:$U$38,MATCH($C21,'ORG-Metrics'!$A$1:$A$38,0),MATCH(G$1,'ORG-Metrics'!$1:$1,0)),"")</f>
        <v/>
      </c>
      <c r="H21" s="21" t="str">
        <f>IFERROR(INDEX('ORG-Metrics'!$A$1:$U$38,MATCH($C21,'ORG-Metrics'!$A$1:$A$38,0),MATCH(H$1,'ORG-Metrics'!$1:$1,0)),"")</f>
        <v/>
      </c>
      <c r="I21" s="21" t="str">
        <f>IFERROR(INDEX('ORG-Metrics'!$A$1:$U$38,MATCH($C21,'ORG-Metrics'!$A$1:$A$38,0),MATCH(I$1,'ORG-Metrics'!$1:$1,0)),"")</f>
        <v/>
      </c>
      <c r="J21" s="21" t="str">
        <f>IFERROR(INDEX('ORG-Metrics'!$A$1:$U$38,MATCH($C21,'ORG-Metrics'!$A$1:$A$38,0),MATCH(J$1,'ORG-Metrics'!$1:$1,0)),"")</f>
        <v/>
      </c>
      <c r="K21" s="21" t="str">
        <f>IFERROR(INDEX('ORG-Metrics'!$A$1:$U$38,MATCH($C21,'ORG-Metrics'!$A$1:$A$38,0),MATCH(K$1,'ORG-Metrics'!$1:$1,0)),"")</f>
        <v/>
      </c>
      <c r="L21" s="21" t="str">
        <f>IFERROR(INDEX('ORG-Metrics'!$A$1:$U$38,MATCH($C21,'ORG-Metrics'!$A$1:$A$38,0),MATCH(L$1,'ORG-Metrics'!$1:$1,0)),"")</f>
        <v/>
      </c>
      <c r="M21" s="21" t="str">
        <f>IFERROR(INDEX('ORG-Metrics'!$A$1:$U$38,MATCH($C21,'ORG-Metrics'!$A$1:$A$38,0),MATCH(M$1,'ORG-Metrics'!$1:$1,0)),"")</f>
        <v/>
      </c>
      <c r="N21" s="21" t="str">
        <f>IFERROR(INDEX('ORG-Metrics'!$A$1:$U$38,MATCH($C21,'ORG-Metrics'!$A$1:$A$38,0),MATCH(N$1,'ORG-Metrics'!$1:$1,0)),"")</f>
        <v/>
      </c>
      <c r="O21" s="21" t="str">
        <f>IFERROR(INDEX('ORG-Metrics'!$A$1:$U$38,MATCH($C21,'ORG-Metrics'!$A$1:$A$38,0),MATCH(O$1,'ORG-Metrics'!$1:$1,0)),"")</f>
        <v/>
      </c>
      <c r="P21" s="21" t="str">
        <f>IFERROR(INDEX('ORG-Metrics'!$A$1:$U$38,MATCH($C21,'ORG-Metrics'!$A$1:$A$38,0),MATCH(P$1,'ORG-Metrics'!$1:$1,0)),"")</f>
        <v/>
      </c>
      <c r="Q21" s="21" t="str">
        <f>IFERROR(INDEX('ORG-Metrics'!$A$1:$U$38,MATCH($C21,'ORG-Metrics'!$A$1:$A$38,0),MATCH(Q$1,'ORG-Metrics'!$1:$1,0)),"")</f>
        <v/>
      </c>
      <c r="R21" s="21" t="str">
        <f>IFERROR(INDEX('ORG-Metrics'!$A$1:$U$38,MATCH($C21,'ORG-Metrics'!$A$1:$A$38,0),MATCH(R$1,'ORG-Metrics'!$1:$1,0)),"")</f>
        <v/>
      </c>
      <c r="S21" s="21" t="str">
        <f>IFERROR(INDEX('ORG-Metrics'!$A$1:$U$38,MATCH($C21,'ORG-Metrics'!$A$1:$A$38,0),MATCH(S$1,'ORG-Metrics'!$1:$1,0)),"")</f>
        <v/>
      </c>
      <c r="T21" s="21" t="str">
        <f>IFERROR(INDEX('ORG-Metrics'!$A$1:$U$38,MATCH($C21,'ORG-Metrics'!$A$1:$A$38,0),MATCH(T$1,'ORG-Metrics'!$1:$1,0)),"")</f>
        <v/>
      </c>
      <c r="U21" s="21" t="str">
        <f>IFERROR(INDEX('ORG-Metrics'!$A$1:$U$38,MATCH($C21,'ORG-Metrics'!$A$1:$A$38,0),MATCH(U$1,'ORG-Metrics'!$1:$1,0)),"")</f>
        <v/>
      </c>
      <c r="V21" t="str">
        <f>IFERROR(INDEX('ORG-Metrics'!$A$1:$U$38,MATCH($C21,'ORG-Metrics'!$A$1:$A$38,0),MATCH(V$1,'ORG-Metrics'!$1:$1,0)),"")</f>
        <v/>
      </c>
      <c r="W21" t="str">
        <f>IFERROR(INDEX('ORG-Metrics'!$A$1:$U$38,MATCH($C21,'ORG-Metrics'!$A$1:$A$38,0),MATCH(W$1,'ORG-Metrics'!$1:$1,0)),"")</f>
        <v/>
      </c>
    </row>
    <row r="22" spans="1:23" x14ac:dyDescent="0.3">
      <c r="D22" s="21" t="str">
        <f>IFERROR(INDEX('ORG-Metrics'!$A$1:$U$38,MATCH($C22,'ORG-Metrics'!$A$1:$A$38,0),MATCH(D$1,'ORG-Metrics'!$1:$1,0)),"")</f>
        <v/>
      </c>
      <c r="E22" s="21" t="str">
        <f>IFERROR(INDEX('ORG-Metrics'!$A$1:$U$38,MATCH($C22,'ORG-Metrics'!$A$1:$A$38,0),MATCH(E$1,'ORG-Metrics'!$1:$1,0)),"")</f>
        <v/>
      </c>
      <c r="F22" s="21" t="str">
        <f>IFERROR(INDEX('ORG-Metrics'!$A$1:$U$38,MATCH($C22,'ORG-Metrics'!$A$1:$A$38,0),MATCH(F$1,'ORG-Metrics'!$1:$1,0)),"")</f>
        <v/>
      </c>
      <c r="G22" s="21" t="str">
        <f>IFERROR(INDEX('ORG-Metrics'!$A$1:$U$38,MATCH($C22,'ORG-Metrics'!$A$1:$A$38,0),MATCH(G$1,'ORG-Metrics'!$1:$1,0)),"")</f>
        <v/>
      </c>
      <c r="H22" s="21" t="str">
        <f>IFERROR(INDEX('ORG-Metrics'!$A$1:$U$38,MATCH($C22,'ORG-Metrics'!$A$1:$A$38,0),MATCH(H$1,'ORG-Metrics'!$1:$1,0)),"")</f>
        <v/>
      </c>
      <c r="I22" s="21" t="str">
        <f>IFERROR(INDEX('ORG-Metrics'!$A$1:$U$38,MATCH($C22,'ORG-Metrics'!$A$1:$A$38,0),MATCH(I$1,'ORG-Metrics'!$1:$1,0)),"")</f>
        <v/>
      </c>
      <c r="J22" s="21" t="str">
        <f>IFERROR(INDEX('ORG-Metrics'!$A$1:$U$38,MATCH($C22,'ORG-Metrics'!$A$1:$A$38,0),MATCH(J$1,'ORG-Metrics'!$1:$1,0)),"")</f>
        <v/>
      </c>
      <c r="K22" s="21" t="str">
        <f>IFERROR(INDEX('ORG-Metrics'!$A$1:$U$38,MATCH($C22,'ORG-Metrics'!$A$1:$A$38,0),MATCH(K$1,'ORG-Metrics'!$1:$1,0)),"")</f>
        <v/>
      </c>
      <c r="L22" s="21" t="str">
        <f>IFERROR(INDEX('ORG-Metrics'!$A$1:$U$38,MATCH($C22,'ORG-Metrics'!$A$1:$A$38,0),MATCH(L$1,'ORG-Metrics'!$1:$1,0)),"")</f>
        <v/>
      </c>
      <c r="M22" s="21" t="str">
        <f>IFERROR(INDEX('ORG-Metrics'!$A$1:$U$38,MATCH($C22,'ORG-Metrics'!$A$1:$A$38,0),MATCH(M$1,'ORG-Metrics'!$1:$1,0)),"")</f>
        <v/>
      </c>
      <c r="N22" s="21" t="str">
        <f>IFERROR(INDEX('ORG-Metrics'!$A$1:$U$38,MATCH($C22,'ORG-Metrics'!$A$1:$A$38,0),MATCH(N$1,'ORG-Metrics'!$1:$1,0)),"")</f>
        <v/>
      </c>
      <c r="O22" s="21" t="str">
        <f>IFERROR(INDEX('ORG-Metrics'!$A$1:$U$38,MATCH($C22,'ORG-Metrics'!$A$1:$A$38,0),MATCH(O$1,'ORG-Metrics'!$1:$1,0)),"")</f>
        <v/>
      </c>
      <c r="P22" s="21" t="str">
        <f>IFERROR(INDEX('ORG-Metrics'!$A$1:$U$38,MATCH($C22,'ORG-Metrics'!$A$1:$A$38,0),MATCH(P$1,'ORG-Metrics'!$1:$1,0)),"")</f>
        <v/>
      </c>
      <c r="Q22" s="21" t="str">
        <f>IFERROR(INDEX('ORG-Metrics'!$A$1:$U$38,MATCH($C22,'ORG-Metrics'!$A$1:$A$38,0),MATCH(Q$1,'ORG-Metrics'!$1:$1,0)),"")</f>
        <v/>
      </c>
      <c r="R22" s="21" t="str">
        <f>IFERROR(INDEX('ORG-Metrics'!$A$1:$U$38,MATCH($C22,'ORG-Metrics'!$A$1:$A$38,0),MATCH(R$1,'ORG-Metrics'!$1:$1,0)),"")</f>
        <v/>
      </c>
      <c r="S22" s="21" t="str">
        <f>IFERROR(INDEX('ORG-Metrics'!$A$1:$U$38,MATCH($C22,'ORG-Metrics'!$A$1:$A$38,0),MATCH(S$1,'ORG-Metrics'!$1:$1,0)),"")</f>
        <v/>
      </c>
      <c r="T22" s="21" t="str">
        <f>IFERROR(INDEX('ORG-Metrics'!$A$1:$U$38,MATCH($C22,'ORG-Metrics'!$A$1:$A$38,0),MATCH(T$1,'ORG-Metrics'!$1:$1,0)),"")</f>
        <v/>
      </c>
      <c r="U22" s="21" t="str">
        <f>IFERROR(INDEX('ORG-Metrics'!$A$1:$U$38,MATCH($C22,'ORG-Metrics'!$A$1:$A$38,0),MATCH(U$1,'ORG-Metrics'!$1:$1,0)),"")</f>
        <v/>
      </c>
      <c r="V22" t="str">
        <f>IFERROR(INDEX('ORG-Metrics'!$A$1:$U$38,MATCH($C22,'ORG-Metrics'!$A$1:$A$38,0),MATCH(V$1,'ORG-Metrics'!$1:$1,0)),"")</f>
        <v/>
      </c>
      <c r="W22" t="str">
        <f>IFERROR(INDEX('ORG-Metrics'!$A$1:$U$38,MATCH($C22,'ORG-Metrics'!$A$1:$A$38,0),MATCH(W$1,'ORG-Metrics'!$1:$1,0)),"")</f>
        <v/>
      </c>
    </row>
    <row r="23" spans="1:23" x14ac:dyDescent="0.3">
      <c r="D23" s="21" t="str">
        <f>IFERROR(INDEX('ORG-Metrics'!$A$1:$U$38,MATCH($C23,'ORG-Metrics'!$A$1:$A$38,0),MATCH(D$1,'ORG-Metrics'!$1:$1,0)),"")</f>
        <v/>
      </c>
      <c r="E23" s="21" t="str">
        <f>IFERROR(INDEX('ORG-Metrics'!$A$1:$U$38,MATCH($C23,'ORG-Metrics'!$A$1:$A$38,0),MATCH(E$1,'ORG-Metrics'!$1:$1,0)),"")</f>
        <v/>
      </c>
      <c r="F23" s="21" t="str">
        <f>IFERROR(INDEX('ORG-Metrics'!$A$1:$U$38,MATCH($C23,'ORG-Metrics'!$A$1:$A$38,0),MATCH(F$1,'ORG-Metrics'!$1:$1,0)),"")</f>
        <v/>
      </c>
      <c r="G23" s="21" t="str">
        <f>IFERROR(INDEX('ORG-Metrics'!$A$1:$U$38,MATCH($C23,'ORG-Metrics'!$A$1:$A$38,0),MATCH(G$1,'ORG-Metrics'!$1:$1,0)),"")</f>
        <v/>
      </c>
      <c r="H23" s="21" t="str">
        <f>IFERROR(INDEX('ORG-Metrics'!$A$1:$U$38,MATCH($C23,'ORG-Metrics'!$A$1:$A$38,0),MATCH(H$1,'ORG-Metrics'!$1:$1,0)),"")</f>
        <v/>
      </c>
      <c r="I23" s="21" t="str">
        <f>IFERROR(INDEX('ORG-Metrics'!$A$1:$U$38,MATCH($C23,'ORG-Metrics'!$A$1:$A$38,0),MATCH(I$1,'ORG-Metrics'!$1:$1,0)),"")</f>
        <v/>
      </c>
      <c r="J23" s="21" t="str">
        <f>IFERROR(INDEX('ORG-Metrics'!$A$1:$U$38,MATCH($C23,'ORG-Metrics'!$A$1:$A$38,0),MATCH(J$1,'ORG-Metrics'!$1:$1,0)),"")</f>
        <v/>
      </c>
      <c r="K23" s="21" t="str">
        <f>IFERROR(INDEX('ORG-Metrics'!$A$1:$U$38,MATCH($C23,'ORG-Metrics'!$A$1:$A$38,0),MATCH(K$1,'ORG-Metrics'!$1:$1,0)),"")</f>
        <v/>
      </c>
      <c r="L23" s="21" t="str">
        <f>IFERROR(INDEX('ORG-Metrics'!$A$1:$U$38,MATCH($C23,'ORG-Metrics'!$A$1:$A$38,0),MATCH(L$1,'ORG-Metrics'!$1:$1,0)),"")</f>
        <v/>
      </c>
      <c r="M23" s="21" t="str">
        <f>IFERROR(INDEX('ORG-Metrics'!$A$1:$U$38,MATCH($C23,'ORG-Metrics'!$A$1:$A$38,0),MATCH(M$1,'ORG-Metrics'!$1:$1,0)),"")</f>
        <v/>
      </c>
      <c r="N23" s="21" t="str">
        <f>IFERROR(INDEX('ORG-Metrics'!$A$1:$U$38,MATCH($C23,'ORG-Metrics'!$A$1:$A$38,0),MATCH(N$1,'ORG-Metrics'!$1:$1,0)),"")</f>
        <v/>
      </c>
      <c r="O23" s="21" t="str">
        <f>IFERROR(INDEX('ORG-Metrics'!$A$1:$U$38,MATCH($C23,'ORG-Metrics'!$A$1:$A$38,0),MATCH(O$1,'ORG-Metrics'!$1:$1,0)),"")</f>
        <v/>
      </c>
      <c r="P23" s="21" t="str">
        <f>IFERROR(INDEX('ORG-Metrics'!$A$1:$U$38,MATCH($C23,'ORG-Metrics'!$A$1:$A$38,0),MATCH(P$1,'ORG-Metrics'!$1:$1,0)),"")</f>
        <v/>
      </c>
      <c r="Q23" s="21" t="str">
        <f>IFERROR(INDEX('ORG-Metrics'!$A$1:$U$38,MATCH($C23,'ORG-Metrics'!$A$1:$A$38,0),MATCH(Q$1,'ORG-Metrics'!$1:$1,0)),"")</f>
        <v/>
      </c>
      <c r="R23" s="21" t="str">
        <f>IFERROR(INDEX('ORG-Metrics'!$A$1:$U$38,MATCH($C23,'ORG-Metrics'!$A$1:$A$38,0),MATCH(R$1,'ORG-Metrics'!$1:$1,0)),"")</f>
        <v/>
      </c>
      <c r="S23" s="21" t="str">
        <f>IFERROR(INDEX('ORG-Metrics'!$A$1:$U$38,MATCH($C23,'ORG-Metrics'!$A$1:$A$38,0),MATCH(S$1,'ORG-Metrics'!$1:$1,0)),"")</f>
        <v/>
      </c>
      <c r="T23" s="21" t="str">
        <f>IFERROR(INDEX('ORG-Metrics'!$A$1:$U$38,MATCH($C23,'ORG-Metrics'!$A$1:$A$38,0),MATCH(T$1,'ORG-Metrics'!$1:$1,0)),"")</f>
        <v/>
      </c>
      <c r="U23" s="21" t="str">
        <f>IFERROR(INDEX('ORG-Metrics'!$A$1:$U$38,MATCH($C23,'ORG-Metrics'!$A$1:$A$38,0),MATCH(U$1,'ORG-Metrics'!$1:$1,0)),"")</f>
        <v/>
      </c>
      <c r="V23" t="str">
        <f>IFERROR(INDEX('ORG-Metrics'!$A$1:$U$38,MATCH($C23,'ORG-Metrics'!$A$1:$A$38,0),MATCH(V$1,'ORG-Metrics'!$1:$1,0)),"")</f>
        <v/>
      </c>
      <c r="W23" t="str">
        <f>IFERROR(INDEX('ORG-Metrics'!$A$1:$U$38,MATCH($C23,'ORG-Metrics'!$A$1:$A$38,0),MATCH(W$1,'ORG-Metrics'!$1:$1,0)),"")</f>
        <v/>
      </c>
    </row>
    <row r="24" spans="1:23" x14ac:dyDescent="0.3">
      <c r="D24" s="21" t="str">
        <f>IFERROR(INDEX('ORG-Metrics'!$A$1:$U$38,MATCH($C24,'ORG-Metrics'!$A$1:$A$38,0),MATCH(D$1,'ORG-Metrics'!$1:$1,0)),"")</f>
        <v/>
      </c>
      <c r="E24" s="21" t="str">
        <f>IFERROR(INDEX('ORG-Metrics'!$A$1:$U$38,MATCH($C24,'ORG-Metrics'!$A$1:$A$38,0),MATCH(E$1,'ORG-Metrics'!$1:$1,0)),"")</f>
        <v/>
      </c>
      <c r="F24" s="21" t="str">
        <f>IFERROR(INDEX('ORG-Metrics'!$A$1:$U$38,MATCH($C24,'ORG-Metrics'!$A$1:$A$38,0),MATCH(F$1,'ORG-Metrics'!$1:$1,0)),"")</f>
        <v/>
      </c>
      <c r="G24" s="21" t="str">
        <f>IFERROR(INDEX('ORG-Metrics'!$A$1:$U$38,MATCH($C24,'ORG-Metrics'!$A$1:$A$38,0),MATCH(G$1,'ORG-Metrics'!$1:$1,0)),"")</f>
        <v/>
      </c>
      <c r="H24" s="21" t="str">
        <f>IFERROR(INDEX('ORG-Metrics'!$A$1:$U$38,MATCH($C24,'ORG-Metrics'!$A$1:$A$38,0),MATCH(H$1,'ORG-Metrics'!$1:$1,0)),"")</f>
        <v/>
      </c>
      <c r="I24" s="21" t="str">
        <f>IFERROR(INDEX('ORG-Metrics'!$A$1:$U$38,MATCH($C24,'ORG-Metrics'!$A$1:$A$38,0),MATCH(I$1,'ORG-Metrics'!$1:$1,0)),"")</f>
        <v/>
      </c>
      <c r="J24" s="21" t="str">
        <f>IFERROR(INDEX('ORG-Metrics'!$A$1:$U$38,MATCH($C24,'ORG-Metrics'!$A$1:$A$38,0),MATCH(J$1,'ORG-Metrics'!$1:$1,0)),"")</f>
        <v/>
      </c>
      <c r="K24" s="21" t="str">
        <f>IFERROR(INDEX('ORG-Metrics'!$A$1:$U$38,MATCH($C24,'ORG-Metrics'!$A$1:$A$38,0),MATCH(K$1,'ORG-Metrics'!$1:$1,0)),"")</f>
        <v/>
      </c>
      <c r="L24" s="21" t="str">
        <f>IFERROR(INDEX('ORG-Metrics'!$A$1:$U$38,MATCH($C24,'ORG-Metrics'!$A$1:$A$38,0),MATCH(L$1,'ORG-Metrics'!$1:$1,0)),"")</f>
        <v/>
      </c>
      <c r="M24" s="21" t="str">
        <f>IFERROR(INDEX('ORG-Metrics'!$A$1:$U$38,MATCH($C24,'ORG-Metrics'!$A$1:$A$38,0),MATCH(M$1,'ORG-Metrics'!$1:$1,0)),"")</f>
        <v/>
      </c>
      <c r="N24" s="21" t="str">
        <f>IFERROR(INDEX('ORG-Metrics'!$A$1:$U$38,MATCH($C24,'ORG-Metrics'!$A$1:$A$38,0),MATCH(N$1,'ORG-Metrics'!$1:$1,0)),"")</f>
        <v/>
      </c>
      <c r="O24" s="21" t="str">
        <f>IFERROR(INDEX('ORG-Metrics'!$A$1:$U$38,MATCH($C24,'ORG-Metrics'!$A$1:$A$38,0),MATCH(O$1,'ORG-Metrics'!$1:$1,0)),"")</f>
        <v/>
      </c>
      <c r="P24" s="21" t="str">
        <f>IFERROR(INDEX('ORG-Metrics'!$A$1:$U$38,MATCH($C24,'ORG-Metrics'!$A$1:$A$38,0),MATCH(P$1,'ORG-Metrics'!$1:$1,0)),"")</f>
        <v/>
      </c>
      <c r="Q24" s="21" t="str">
        <f>IFERROR(INDEX('ORG-Metrics'!$A$1:$U$38,MATCH($C24,'ORG-Metrics'!$A$1:$A$38,0),MATCH(Q$1,'ORG-Metrics'!$1:$1,0)),"")</f>
        <v/>
      </c>
      <c r="R24" s="21" t="str">
        <f>IFERROR(INDEX('ORG-Metrics'!$A$1:$U$38,MATCH($C24,'ORG-Metrics'!$A$1:$A$38,0),MATCH(R$1,'ORG-Metrics'!$1:$1,0)),"")</f>
        <v/>
      </c>
      <c r="S24" s="21" t="str">
        <f>IFERROR(INDEX('ORG-Metrics'!$A$1:$U$38,MATCH($C24,'ORG-Metrics'!$A$1:$A$38,0),MATCH(S$1,'ORG-Metrics'!$1:$1,0)),"")</f>
        <v/>
      </c>
      <c r="T24" s="21" t="str">
        <f>IFERROR(INDEX('ORG-Metrics'!$A$1:$U$38,MATCH($C24,'ORG-Metrics'!$A$1:$A$38,0),MATCH(T$1,'ORG-Metrics'!$1:$1,0)),"")</f>
        <v/>
      </c>
      <c r="U24" s="21" t="str">
        <f>IFERROR(INDEX('ORG-Metrics'!$A$1:$U$38,MATCH($C24,'ORG-Metrics'!$A$1:$A$38,0),MATCH(U$1,'ORG-Metrics'!$1:$1,0)),"")</f>
        <v/>
      </c>
      <c r="V24" t="str">
        <f>IFERROR(INDEX('ORG-Metrics'!$A$1:$U$38,MATCH($C24,'ORG-Metrics'!$A$1:$A$38,0),MATCH(V$1,'ORG-Metrics'!$1:$1,0)),"")</f>
        <v/>
      </c>
      <c r="W24" t="str">
        <f>IFERROR(INDEX('ORG-Metrics'!$A$1:$U$38,MATCH($C24,'ORG-Metrics'!$A$1:$A$38,0),MATCH(W$1,'ORG-Metrics'!$1:$1,0)),"")</f>
        <v/>
      </c>
    </row>
    <row r="25" spans="1:23" x14ac:dyDescent="0.3">
      <c r="D25" s="21" t="str">
        <f>IFERROR(INDEX('ORG-Metrics'!$A$1:$U$38,MATCH($C25,'ORG-Metrics'!$A$1:$A$38,0),MATCH(D$1,'ORG-Metrics'!$1:$1,0)),"")</f>
        <v/>
      </c>
      <c r="E25" s="21" t="str">
        <f>IFERROR(INDEX('ORG-Metrics'!$A$1:$U$38,MATCH($C25,'ORG-Metrics'!$A$1:$A$38,0),MATCH(E$1,'ORG-Metrics'!$1:$1,0)),"")</f>
        <v/>
      </c>
      <c r="F25" s="21" t="str">
        <f>IFERROR(INDEX('ORG-Metrics'!$A$1:$U$38,MATCH($C25,'ORG-Metrics'!$A$1:$A$38,0),MATCH(F$1,'ORG-Metrics'!$1:$1,0)),"")</f>
        <v/>
      </c>
      <c r="G25" s="21" t="str">
        <f>IFERROR(INDEX('ORG-Metrics'!$A$1:$U$38,MATCH($C25,'ORG-Metrics'!$A$1:$A$38,0),MATCH(G$1,'ORG-Metrics'!$1:$1,0)),"")</f>
        <v/>
      </c>
      <c r="H25" s="21" t="str">
        <f>IFERROR(INDEX('ORG-Metrics'!$A$1:$U$38,MATCH($C25,'ORG-Metrics'!$A$1:$A$38,0),MATCH(H$1,'ORG-Metrics'!$1:$1,0)),"")</f>
        <v/>
      </c>
      <c r="I25" s="21" t="str">
        <f>IFERROR(INDEX('ORG-Metrics'!$A$1:$U$38,MATCH($C25,'ORG-Metrics'!$A$1:$A$38,0),MATCH(I$1,'ORG-Metrics'!$1:$1,0)),"")</f>
        <v/>
      </c>
      <c r="J25" s="21" t="str">
        <f>IFERROR(INDEX('ORG-Metrics'!$A$1:$U$38,MATCH($C25,'ORG-Metrics'!$A$1:$A$38,0),MATCH(J$1,'ORG-Metrics'!$1:$1,0)),"")</f>
        <v/>
      </c>
      <c r="K25" s="21" t="str">
        <f>IFERROR(INDEX('ORG-Metrics'!$A$1:$U$38,MATCH($C25,'ORG-Metrics'!$A$1:$A$38,0),MATCH(K$1,'ORG-Metrics'!$1:$1,0)),"")</f>
        <v/>
      </c>
      <c r="L25" s="21" t="str">
        <f>IFERROR(INDEX('ORG-Metrics'!$A$1:$U$38,MATCH($C25,'ORG-Metrics'!$A$1:$A$38,0),MATCH(L$1,'ORG-Metrics'!$1:$1,0)),"")</f>
        <v/>
      </c>
      <c r="M25" s="21" t="str">
        <f>IFERROR(INDEX('ORG-Metrics'!$A$1:$U$38,MATCH($C25,'ORG-Metrics'!$A$1:$A$38,0),MATCH(M$1,'ORG-Metrics'!$1:$1,0)),"")</f>
        <v/>
      </c>
      <c r="N25" s="21" t="str">
        <f>IFERROR(INDEX('ORG-Metrics'!$A$1:$U$38,MATCH($C25,'ORG-Metrics'!$A$1:$A$38,0),MATCH(N$1,'ORG-Metrics'!$1:$1,0)),"")</f>
        <v/>
      </c>
      <c r="O25" s="21" t="str">
        <f>IFERROR(INDEX('ORG-Metrics'!$A$1:$U$38,MATCH($C25,'ORG-Metrics'!$A$1:$A$38,0),MATCH(O$1,'ORG-Metrics'!$1:$1,0)),"")</f>
        <v/>
      </c>
      <c r="P25" s="21" t="str">
        <f>IFERROR(INDEX('ORG-Metrics'!$A$1:$U$38,MATCH($C25,'ORG-Metrics'!$A$1:$A$38,0),MATCH(P$1,'ORG-Metrics'!$1:$1,0)),"")</f>
        <v/>
      </c>
      <c r="Q25" s="21" t="str">
        <f>IFERROR(INDEX('ORG-Metrics'!$A$1:$U$38,MATCH($C25,'ORG-Metrics'!$A$1:$A$38,0),MATCH(Q$1,'ORG-Metrics'!$1:$1,0)),"")</f>
        <v/>
      </c>
      <c r="R25" s="21" t="str">
        <f>IFERROR(INDEX('ORG-Metrics'!$A$1:$U$38,MATCH($C25,'ORG-Metrics'!$A$1:$A$38,0),MATCH(R$1,'ORG-Metrics'!$1:$1,0)),"")</f>
        <v/>
      </c>
      <c r="S25" s="21" t="str">
        <f>IFERROR(INDEX('ORG-Metrics'!$A$1:$U$38,MATCH($C25,'ORG-Metrics'!$A$1:$A$38,0),MATCH(S$1,'ORG-Metrics'!$1:$1,0)),"")</f>
        <v/>
      </c>
      <c r="T25" s="21" t="str">
        <f>IFERROR(INDEX('ORG-Metrics'!$A$1:$U$38,MATCH($C25,'ORG-Metrics'!$A$1:$A$38,0),MATCH(T$1,'ORG-Metrics'!$1:$1,0)),"")</f>
        <v/>
      </c>
      <c r="U25" s="21" t="str">
        <f>IFERROR(INDEX('ORG-Metrics'!$A$1:$U$38,MATCH($C25,'ORG-Metrics'!$A$1:$A$38,0),MATCH(U$1,'ORG-Metrics'!$1:$1,0)),"")</f>
        <v/>
      </c>
      <c r="V25" t="str">
        <f>IFERROR(INDEX('ORG-Metrics'!$A$1:$U$38,MATCH($C25,'ORG-Metrics'!$A$1:$A$38,0),MATCH(V$1,'ORG-Metrics'!$1:$1,0)),"")</f>
        <v/>
      </c>
      <c r="W25" t="str">
        <f>IFERROR(INDEX('ORG-Metrics'!$A$1:$U$38,MATCH($C25,'ORG-Metrics'!$A$1:$A$38,0),MATCH(W$1,'ORG-Metrics'!$1:$1,0)),"")</f>
        <v/>
      </c>
    </row>
    <row r="26" spans="1:23" x14ac:dyDescent="0.3">
      <c r="D26" s="21" t="str">
        <f>IFERROR(INDEX('ORG-Metrics'!$A$1:$U$38,MATCH($C26,'ORG-Metrics'!$A$1:$A$38,0),MATCH(D$1,'ORG-Metrics'!$1:$1,0)),"")</f>
        <v/>
      </c>
      <c r="E26" s="21" t="str">
        <f>IFERROR(INDEX('ORG-Metrics'!$A$1:$U$38,MATCH($C26,'ORG-Metrics'!$A$1:$A$38,0),MATCH(E$1,'ORG-Metrics'!$1:$1,0)),"")</f>
        <v/>
      </c>
      <c r="F26" s="21" t="str">
        <f>IFERROR(INDEX('ORG-Metrics'!$A$1:$U$38,MATCH($C26,'ORG-Metrics'!$A$1:$A$38,0),MATCH(F$1,'ORG-Metrics'!$1:$1,0)),"")</f>
        <v/>
      </c>
      <c r="G26" s="21" t="str">
        <f>IFERROR(INDEX('ORG-Metrics'!$A$1:$U$38,MATCH($C26,'ORG-Metrics'!$A$1:$A$38,0),MATCH(G$1,'ORG-Metrics'!$1:$1,0)),"")</f>
        <v/>
      </c>
      <c r="H26" s="21" t="str">
        <f>IFERROR(INDEX('ORG-Metrics'!$A$1:$U$38,MATCH($C26,'ORG-Metrics'!$A$1:$A$38,0),MATCH(H$1,'ORG-Metrics'!$1:$1,0)),"")</f>
        <v/>
      </c>
      <c r="I26" s="21" t="str">
        <f>IFERROR(INDEX('ORG-Metrics'!$A$1:$U$38,MATCH($C26,'ORG-Metrics'!$A$1:$A$38,0),MATCH(I$1,'ORG-Metrics'!$1:$1,0)),"")</f>
        <v/>
      </c>
      <c r="J26" s="21" t="str">
        <f>IFERROR(INDEX('ORG-Metrics'!$A$1:$U$38,MATCH($C26,'ORG-Metrics'!$A$1:$A$38,0),MATCH(J$1,'ORG-Metrics'!$1:$1,0)),"")</f>
        <v/>
      </c>
      <c r="K26" s="21" t="str">
        <f>IFERROR(INDEX('ORG-Metrics'!$A$1:$U$38,MATCH($C26,'ORG-Metrics'!$A$1:$A$38,0),MATCH(K$1,'ORG-Metrics'!$1:$1,0)),"")</f>
        <v/>
      </c>
      <c r="L26" s="21" t="str">
        <f>IFERROR(INDEX('ORG-Metrics'!$A$1:$U$38,MATCH($C26,'ORG-Metrics'!$A$1:$A$38,0),MATCH(L$1,'ORG-Metrics'!$1:$1,0)),"")</f>
        <v/>
      </c>
      <c r="M26" s="21" t="str">
        <f>IFERROR(INDEX('ORG-Metrics'!$A$1:$U$38,MATCH($C26,'ORG-Metrics'!$A$1:$A$38,0),MATCH(M$1,'ORG-Metrics'!$1:$1,0)),"")</f>
        <v/>
      </c>
      <c r="N26" s="21" t="str">
        <f>IFERROR(INDEX('ORG-Metrics'!$A$1:$U$38,MATCH($C26,'ORG-Metrics'!$A$1:$A$38,0),MATCH(N$1,'ORG-Metrics'!$1:$1,0)),"")</f>
        <v/>
      </c>
      <c r="O26" s="21" t="str">
        <f>IFERROR(INDEX('ORG-Metrics'!$A$1:$U$38,MATCH($C26,'ORG-Metrics'!$A$1:$A$38,0),MATCH(O$1,'ORG-Metrics'!$1:$1,0)),"")</f>
        <v/>
      </c>
      <c r="P26" s="21" t="str">
        <f>IFERROR(INDEX('ORG-Metrics'!$A$1:$U$38,MATCH($C26,'ORG-Metrics'!$A$1:$A$38,0),MATCH(P$1,'ORG-Metrics'!$1:$1,0)),"")</f>
        <v/>
      </c>
      <c r="Q26" s="21" t="str">
        <f>IFERROR(INDEX('ORG-Metrics'!$A$1:$U$38,MATCH($C26,'ORG-Metrics'!$A$1:$A$38,0),MATCH(Q$1,'ORG-Metrics'!$1:$1,0)),"")</f>
        <v/>
      </c>
      <c r="R26" s="21" t="str">
        <f>IFERROR(INDEX('ORG-Metrics'!$A$1:$U$38,MATCH($C26,'ORG-Metrics'!$A$1:$A$38,0),MATCH(R$1,'ORG-Metrics'!$1:$1,0)),"")</f>
        <v/>
      </c>
      <c r="S26" s="21" t="str">
        <f>IFERROR(INDEX('ORG-Metrics'!$A$1:$U$38,MATCH($C26,'ORG-Metrics'!$A$1:$A$38,0),MATCH(S$1,'ORG-Metrics'!$1:$1,0)),"")</f>
        <v/>
      </c>
      <c r="T26" s="21" t="str">
        <f>IFERROR(INDEX('ORG-Metrics'!$A$1:$U$38,MATCH($C26,'ORG-Metrics'!$A$1:$A$38,0),MATCH(T$1,'ORG-Metrics'!$1:$1,0)),"")</f>
        <v/>
      </c>
      <c r="U26" s="21" t="str">
        <f>IFERROR(INDEX('ORG-Metrics'!$A$1:$U$38,MATCH($C26,'ORG-Metrics'!$A$1:$A$38,0),MATCH(U$1,'ORG-Metrics'!$1:$1,0)),"")</f>
        <v/>
      </c>
      <c r="V26" t="str">
        <f>IFERROR(INDEX('ORG-Metrics'!$A$1:$U$38,MATCH($C26,'ORG-Metrics'!$A$1:$A$38,0),MATCH(V$1,'ORG-Metrics'!$1:$1,0)),"")</f>
        <v/>
      </c>
      <c r="W26" t="str">
        <f>IFERROR(INDEX('ORG-Metrics'!$A$1:$U$38,MATCH($C26,'ORG-Metrics'!$A$1:$A$38,0),MATCH(W$1,'ORG-Metrics'!$1:$1,0)),"")</f>
        <v/>
      </c>
    </row>
    <row r="27" spans="1:23" x14ac:dyDescent="0.3">
      <c r="D27" s="21" t="str">
        <f>IFERROR(INDEX('ORG-Metrics'!$A$1:$U$38,MATCH($C27,'ORG-Metrics'!$A$1:$A$38,0),MATCH(D$1,'ORG-Metrics'!$1:$1,0)),"")</f>
        <v/>
      </c>
      <c r="E27" s="21" t="str">
        <f>IFERROR(INDEX('ORG-Metrics'!$A$1:$U$38,MATCH($C27,'ORG-Metrics'!$A$1:$A$38,0),MATCH(E$1,'ORG-Metrics'!$1:$1,0)),"")</f>
        <v/>
      </c>
      <c r="F27" s="21" t="str">
        <f>IFERROR(INDEX('ORG-Metrics'!$A$1:$U$38,MATCH($C27,'ORG-Metrics'!$A$1:$A$38,0),MATCH(F$1,'ORG-Metrics'!$1:$1,0)),"")</f>
        <v/>
      </c>
      <c r="G27" s="21" t="str">
        <f>IFERROR(INDEX('ORG-Metrics'!$A$1:$U$38,MATCH($C27,'ORG-Metrics'!$A$1:$A$38,0),MATCH(G$1,'ORG-Metrics'!$1:$1,0)),"")</f>
        <v/>
      </c>
      <c r="H27" s="21" t="str">
        <f>IFERROR(INDEX('ORG-Metrics'!$A$1:$U$38,MATCH($C27,'ORG-Metrics'!$A$1:$A$38,0),MATCH(H$1,'ORG-Metrics'!$1:$1,0)),"")</f>
        <v/>
      </c>
      <c r="I27" s="21" t="str">
        <f>IFERROR(INDEX('ORG-Metrics'!$A$1:$U$38,MATCH($C27,'ORG-Metrics'!$A$1:$A$38,0),MATCH(I$1,'ORG-Metrics'!$1:$1,0)),"")</f>
        <v/>
      </c>
      <c r="J27" s="21" t="str">
        <f>IFERROR(INDEX('ORG-Metrics'!$A$1:$U$38,MATCH($C27,'ORG-Metrics'!$A$1:$A$38,0),MATCH(J$1,'ORG-Metrics'!$1:$1,0)),"")</f>
        <v/>
      </c>
      <c r="K27" s="21" t="str">
        <f>IFERROR(INDEX('ORG-Metrics'!$A$1:$U$38,MATCH($C27,'ORG-Metrics'!$A$1:$A$38,0),MATCH(K$1,'ORG-Metrics'!$1:$1,0)),"")</f>
        <v/>
      </c>
      <c r="L27" s="21" t="str">
        <f>IFERROR(INDEX('ORG-Metrics'!$A$1:$U$38,MATCH($C27,'ORG-Metrics'!$A$1:$A$38,0),MATCH(L$1,'ORG-Metrics'!$1:$1,0)),"")</f>
        <v/>
      </c>
      <c r="M27" s="21" t="str">
        <f>IFERROR(INDEX('ORG-Metrics'!$A$1:$U$38,MATCH($C27,'ORG-Metrics'!$A$1:$A$38,0),MATCH(M$1,'ORG-Metrics'!$1:$1,0)),"")</f>
        <v/>
      </c>
      <c r="N27" s="21" t="str">
        <f>IFERROR(INDEX('ORG-Metrics'!$A$1:$U$38,MATCH($C27,'ORG-Metrics'!$A$1:$A$38,0),MATCH(N$1,'ORG-Metrics'!$1:$1,0)),"")</f>
        <v/>
      </c>
      <c r="O27" s="21" t="str">
        <f>IFERROR(INDEX('ORG-Metrics'!$A$1:$U$38,MATCH($C27,'ORG-Metrics'!$A$1:$A$38,0),MATCH(O$1,'ORG-Metrics'!$1:$1,0)),"")</f>
        <v/>
      </c>
      <c r="P27" s="21" t="str">
        <f>IFERROR(INDEX('ORG-Metrics'!$A$1:$U$38,MATCH($C27,'ORG-Metrics'!$A$1:$A$38,0),MATCH(P$1,'ORG-Metrics'!$1:$1,0)),"")</f>
        <v/>
      </c>
      <c r="Q27" s="21" t="str">
        <f>IFERROR(INDEX('ORG-Metrics'!$A$1:$U$38,MATCH($C27,'ORG-Metrics'!$A$1:$A$38,0),MATCH(Q$1,'ORG-Metrics'!$1:$1,0)),"")</f>
        <v/>
      </c>
      <c r="R27" s="21" t="str">
        <f>IFERROR(INDEX('ORG-Metrics'!$A$1:$U$38,MATCH($C27,'ORG-Metrics'!$A$1:$A$38,0),MATCH(R$1,'ORG-Metrics'!$1:$1,0)),"")</f>
        <v/>
      </c>
      <c r="S27" s="21" t="str">
        <f>IFERROR(INDEX('ORG-Metrics'!$A$1:$U$38,MATCH($C27,'ORG-Metrics'!$A$1:$A$38,0),MATCH(S$1,'ORG-Metrics'!$1:$1,0)),"")</f>
        <v/>
      </c>
      <c r="T27" s="21" t="str">
        <f>IFERROR(INDEX('ORG-Metrics'!$A$1:$U$38,MATCH($C27,'ORG-Metrics'!$A$1:$A$38,0),MATCH(T$1,'ORG-Metrics'!$1:$1,0)),"")</f>
        <v/>
      </c>
      <c r="U27" s="21" t="str">
        <f>IFERROR(INDEX('ORG-Metrics'!$A$1:$U$38,MATCH($C27,'ORG-Metrics'!$A$1:$A$38,0),MATCH(U$1,'ORG-Metrics'!$1:$1,0)),"")</f>
        <v/>
      </c>
      <c r="V27" t="str">
        <f>IFERROR(INDEX('ORG-Metrics'!$A$1:$U$38,MATCH($C27,'ORG-Metrics'!$A$1:$A$38,0),MATCH(V$1,'ORG-Metrics'!$1:$1,0)),"")</f>
        <v/>
      </c>
      <c r="W27" t="str">
        <f>IFERROR(INDEX('ORG-Metrics'!$A$1:$U$38,MATCH($C27,'ORG-Metrics'!$A$1:$A$38,0),MATCH(W$1,'ORG-Metrics'!$1:$1,0)),"")</f>
        <v/>
      </c>
    </row>
    <row r="28" spans="1:23" x14ac:dyDescent="0.3">
      <c r="D28" s="21" t="str">
        <f>IFERROR(INDEX('ORG-Metrics'!$A$1:$U$38,MATCH($C28,'ORG-Metrics'!$A$1:$A$38,0),MATCH(D$1,'ORG-Metrics'!$1:$1,0)),"")</f>
        <v/>
      </c>
      <c r="E28" s="21" t="str">
        <f>IFERROR(INDEX('ORG-Metrics'!$A$1:$U$38,MATCH($C28,'ORG-Metrics'!$A$1:$A$38,0),MATCH(E$1,'ORG-Metrics'!$1:$1,0)),"")</f>
        <v/>
      </c>
      <c r="F28" s="21" t="str">
        <f>IFERROR(INDEX('ORG-Metrics'!$A$1:$U$38,MATCH($C28,'ORG-Metrics'!$A$1:$A$38,0),MATCH(F$1,'ORG-Metrics'!$1:$1,0)),"")</f>
        <v/>
      </c>
      <c r="G28" s="21" t="str">
        <f>IFERROR(INDEX('ORG-Metrics'!$A$1:$U$38,MATCH($C28,'ORG-Metrics'!$A$1:$A$38,0),MATCH(G$1,'ORG-Metrics'!$1:$1,0)),"")</f>
        <v/>
      </c>
      <c r="H28" s="21" t="str">
        <f>IFERROR(INDEX('ORG-Metrics'!$A$1:$U$38,MATCH($C28,'ORG-Metrics'!$A$1:$A$38,0),MATCH(H$1,'ORG-Metrics'!$1:$1,0)),"")</f>
        <v/>
      </c>
      <c r="I28" s="21" t="str">
        <f>IFERROR(INDEX('ORG-Metrics'!$A$1:$U$38,MATCH($C28,'ORG-Metrics'!$A$1:$A$38,0),MATCH(I$1,'ORG-Metrics'!$1:$1,0)),"")</f>
        <v/>
      </c>
      <c r="J28" s="21" t="str">
        <f>IFERROR(INDEX('ORG-Metrics'!$A$1:$U$38,MATCH($C28,'ORG-Metrics'!$A$1:$A$38,0),MATCH(J$1,'ORG-Metrics'!$1:$1,0)),"")</f>
        <v/>
      </c>
      <c r="K28" s="21" t="str">
        <f>IFERROR(INDEX('ORG-Metrics'!$A$1:$U$38,MATCH($C28,'ORG-Metrics'!$A$1:$A$38,0),MATCH(K$1,'ORG-Metrics'!$1:$1,0)),"")</f>
        <v/>
      </c>
      <c r="L28" s="21" t="str">
        <f>IFERROR(INDEX('ORG-Metrics'!$A$1:$U$38,MATCH($C28,'ORG-Metrics'!$A$1:$A$38,0),MATCH(L$1,'ORG-Metrics'!$1:$1,0)),"")</f>
        <v/>
      </c>
      <c r="M28" s="21" t="str">
        <f>IFERROR(INDEX('ORG-Metrics'!$A$1:$U$38,MATCH($C28,'ORG-Metrics'!$A$1:$A$38,0),MATCH(M$1,'ORG-Metrics'!$1:$1,0)),"")</f>
        <v/>
      </c>
      <c r="N28" s="21" t="str">
        <f>IFERROR(INDEX('ORG-Metrics'!$A$1:$U$38,MATCH($C28,'ORG-Metrics'!$A$1:$A$38,0),MATCH(N$1,'ORG-Metrics'!$1:$1,0)),"")</f>
        <v/>
      </c>
      <c r="O28" s="21" t="str">
        <f>IFERROR(INDEX('ORG-Metrics'!$A$1:$U$38,MATCH($C28,'ORG-Metrics'!$A$1:$A$38,0),MATCH(O$1,'ORG-Metrics'!$1:$1,0)),"")</f>
        <v/>
      </c>
      <c r="P28" s="21" t="str">
        <f>IFERROR(INDEX('ORG-Metrics'!$A$1:$U$38,MATCH($C28,'ORG-Metrics'!$A$1:$A$38,0),MATCH(P$1,'ORG-Metrics'!$1:$1,0)),"")</f>
        <v/>
      </c>
      <c r="Q28" s="21" t="str">
        <f>IFERROR(INDEX('ORG-Metrics'!$A$1:$U$38,MATCH($C28,'ORG-Metrics'!$A$1:$A$38,0),MATCH(Q$1,'ORG-Metrics'!$1:$1,0)),"")</f>
        <v/>
      </c>
      <c r="R28" s="21" t="str">
        <f>IFERROR(INDEX('ORG-Metrics'!$A$1:$U$38,MATCH($C28,'ORG-Metrics'!$A$1:$A$38,0),MATCH(R$1,'ORG-Metrics'!$1:$1,0)),"")</f>
        <v/>
      </c>
      <c r="S28" s="21" t="str">
        <f>IFERROR(INDEX('ORG-Metrics'!$A$1:$U$38,MATCH($C28,'ORG-Metrics'!$A$1:$A$38,0),MATCH(S$1,'ORG-Metrics'!$1:$1,0)),"")</f>
        <v/>
      </c>
      <c r="T28" s="21" t="str">
        <f>IFERROR(INDEX('ORG-Metrics'!$A$1:$U$38,MATCH($C28,'ORG-Metrics'!$A$1:$A$38,0),MATCH(T$1,'ORG-Metrics'!$1:$1,0)),"")</f>
        <v/>
      </c>
      <c r="U28" s="21" t="str">
        <f>IFERROR(INDEX('ORG-Metrics'!$A$1:$U$38,MATCH($C28,'ORG-Metrics'!$A$1:$A$38,0),MATCH(U$1,'ORG-Metrics'!$1:$1,0)),"")</f>
        <v/>
      </c>
      <c r="V28" t="str">
        <f>IFERROR(INDEX('ORG-Metrics'!$A$1:$U$38,MATCH($C28,'ORG-Metrics'!$A$1:$A$38,0),MATCH(V$1,'ORG-Metrics'!$1:$1,0)),"")</f>
        <v/>
      </c>
      <c r="W28" t="str">
        <f>IFERROR(INDEX('ORG-Metrics'!$A$1:$U$38,MATCH($C28,'ORG-Metrics'!$A$1:$A$38,0),MATCH(W$1,'ORG-Metrics'!$1:$1,0)),"")</f>
        <v/>
      </c>
    </row>
    <row r="29" spans="1:23" x14ac:dyDescent="0.3">
      <c r="D29" s="21" t="str">
        <f>IFERROR(INDEX('ORG-Metrics'!$A$1:$U$38,MATCH($C29,'ORG-Metrics'!$A$1:$A$38,0),MATCH(D$1,'ORG-Metrics'!$1:$1,0)),"")</f>
        <v/>
      </c>
      <c r="E29" s="21" t="str">
        <f>IFERROR(INDEX('ORG-Metrics'!$A$1:$U$38,MATCH($C29,'ORG-Metrics'!$A$1:$A$38,0),MATCH(E$1,'ORG-Metrics'!$1:$1,0)),"")</f>
        <v/>
      </c>
      <c r="F29" s="21" t="str">
        <f>IFERROR(INDEX('ORG-Metrics'!$A$1:$U$38,MATCH($C29,'ORG-Metrics'!$A$1:$A$38,0),MATCH(F$1,'ORG-Metrics'!$1:$1,0)),"")</f>
        <v/>
      </c>
      <c r="G29" s="21" t="str">
        <f>IFERROR(INDEX('ORG-Metrics'!$A$1:$U$38,MATCH($C29,'ORG-Metrics'!$A$1:$A$38,0),MATCH(G$1,'ORG-Metrics'!$1:$1,0)),"")</f>
        <v/>
      </c>
      <c r="H29" s="21" t="str">
        <f>IFERROR(INDEX('ORG-Metrics'!$A$1:$U$38,MATCH($C29,'ORG-Metrics'!$A$1:$A$38,0),MATCH(H$1,'ORG-Metrics'!$1:$1,0)),"")</f>
        <v/>
      </c>
      <c r="I29" s="21" t="str">
        <f>IFERROR(INDEX('ORG-Metrics'!$A$1:$U$38,MATCH($C29,'ORG-Metrics'!$A$1:$A$38,0),MATCH(I$1,'ORG-Metrics'!$1:$1,0)),"")</f>
        <v/>
      </c>
      <c r="J29" s="21" t="str">
        <f>IFERROR(INDEX('ORG-Metrics'!$A$1:$U$38,MATCH($C29,'ORG-Metrics'!$A$1:$A$38,0),MATCH(J$1,'ORG-Metrics'!$1:$1,0)),"")</f>
        <v/>
      </c>
      <c r="K29" s="21" t="str">
        <f>IFERROR(INDEX('ORG-Metrics'!$A$1:$U$38,MATCH($C29,'ORG-Metrics'!$A$1:$A$38,0),MATCH(K$1,'ORG-Metrics'!$1:$1,0)),"")</f>
        <v/>
      </c>
      <c r="L29" s="21" t="str">
        <f>IFERROR(INDEX('ORG-Metrics'!$A$1:$U$38,MATCH($C29,'ORG-Metrics'!$A$1:$A$38,0),MATCH(L$1,'ORG-Metrics'!$1:$1,0)),"")</f>
        <v/>
      </c>
      <c r="M29" s="21" t="str">
        <f>IFERROR(INDEX('ORG-Metrics'!$A$1:$U$38,MATCH($C29,'ORG-Metrics'!$A$1:$A$38,0),MATCH(M$1,'ORG-Metrics'!$1:$1,0)),"")</f>
        <v/>
      </c>
      <c r="N29" s="21" t="str">
        <f>IFERROR(INDEX('ORG-Metrics'!$A$1:$U$38,MATCH($C29,'ORG-Metrics'!$A$1:$A$38,0),MATCH(N$1,'ORG-Metrics'!$1:$1,0)),"")</f>
        <v/>
      </c>
      <c r="O29" s="21" t="str">
        <f>IFERROR(INDEX('ORG-Metrics'!$A$1:$U$38,MATCH($C29,'ORG-Metrics'!$A$1:$A$38,0),MATCH(O$1,'ORG-Metrics'!$1:$1,0)),"")</f>
        <v/>
      </c>
      <c r="P29" s="21" t="str">
        <f>IFERROR(INDEX('ORG-Metrics'!$A$1:$U$38,MATCH($C29,'ORG-Metrics'!$A$1:$A$38,0),MATCH(P$1,'ORG-Metrics'!$1:$1,0)),"")</f>
        <v/>
      </c>
      <c r="Q29" s="21" t="str">
        <f>IFERROR(INDEX('ORG-Metrics'!$A$1:$U$38,MATCH($C29,'ORG-Metrics'!$A$1:$A$38,0),MATCH(Q$1,'ORG-Metrics'!$1:$1,0)),"")</f>
        <v/>
      </c>
      <c r="R29" s="21" t="str">
        <f>IFERROR(INDEX('ORG-Metrics'!$A$1:$U$38,MATCH($C29,'ORG-Metrics'!$A$1:$A$38,0),MATCH(R$1,'ORG-Metrics'!$1:$1,0)),"")</f>
        <v/>
      </c>
      <c r="S29" s="21" t="str">
        <f>IFERROR(INDEX('ORG-Metrics'!$A$1:$U$38,MATCH($C29,'ORG-Metrics'!$A$1:$A$38,0),MATCH(S$1,'ORG-Metrics'!$1:$1,0)),"")</f>
        <v/>
      </c>
      <c r="T29" s="21" t="str">
        <f>IFERROR(INDEX('ORG-Metrics'!$A$1:$U$38,MATCH($C29,'ORG-Metrics'!$A$1:$A$38,0),MATCH(T$1,'ORG-Metrics'!$1:$1,0)),"")</f>
        <v/>
      </c>
      <c r="U29" s="21" t="str">
        <f>IFERROR(INDEX('ORG-Metrics'!$A$1:$U$38,MATCH($C29,'ORG-Metrics'!$A$1:$A$38,0),MATCH(U$1,'ORG-Metrics'!$1:$1,0)),"")</f>
        <v/>
      </c>
      <c r="V29" t="str">
        <f>IFERROR(INDEX('ORG-Metrics'!$A$1:$U$38,MATCH($C29,'ORG-Metrics'!$A$1:$A$38,0),MATCH(V$1,'ORG-Metrics'!$1:$1,0)),"")</f>
        <v/>
      </c>
      <c r="W29" t="str">
        <f>IFERROR(INDEX('ORG-Metrics'!$A$1:$U$38,MATCH($C29,'ORG-Metrics'!$A$1:$A$38,0),MATCH(W$1,'ORG-Metrics'!$1:$1,0)),"")</f>
        <v/>
      </c>
    </row>
    <row r="30" spans="1:23" x14ac:dyDescent="0.3">
      <c r="D30" s="21" t="str">
        <f>IFERROR(INDEX('ORG-Metrics'!$A$1:$U$38,MATCH($C30,'ORG-Metrics'!$A$1:$A$38,0),MATCH(D$1,'ORG-Metrics'!$1:$1,0)),"")</f>
        <v/>
      </c>
      <c r="E30" s="21" t="str">
        <f>IFERROR(INDEX('ORG-Metrics'!$A$1:$U$38,MATCH($C30,'ORG-Metrics'!$A$1:$A$38,0),MATCH(E$1,'ORG-Metrics'!$1:$1,0)),"")</f>
        <v/>
      </c>
      <c r="F30" s="21" t="str">
        <f>IFERROR(INDEX('ORG-Metrics'!$A$1:$U$38,MATCH($C30,'ORG-Metrics'!$A$1:$A$38,0),MATCH(F$1,'ORG-Metrics'!$1:$1,0)),"")</f>
        <v/>
      </c>
      <c r="G30" s="21" t="str">
        <f>IFERROR(INDEX('ORG-Metrics'!$A$1:$U$38,MATCH($C30,'ORG-Metrics'!$A$1:$A$38,0),MATCH(G$1,'ORG-Metrics'!$1:$1,0)),"")</f>
        <v/>
      </c>
      <c r="H30" s="21" t="str">
        <f>IFERROR(INDEX('ORG-Metrics'!$A$1:$U$38,MATCH($C30,'ORG-Metrics'!$A$1:$A$38,0),MATCH(H$1,'ORG-Metrics'!$1:$1,0)),"")</f>
        <v/>
      </c>
      <c r="I30" s="21" t="str">
        <f>IFERROR(INDEX('ORG-Metrics'!$A$1:$U$38,MATCH($C30,'ORG-Metrics'!$A$1:$A$38,0),MATCH(I$1,'ORG-Metrics'!$1:$1,0)),"")</f>
        <v/>
      </c>
      <c r="J30" s="21" t="str">
        <f>IFERROR(INDEX('ORG-Metrics'!$A$1:$U$38,MATCH($C30,'ORG-Metrics'!$A$1:$A$38,0),MATCH(J$1,'ORG-Metrics'!$1:$1,0)),"")</f>
        <v/>
      </c>
      <c r="K30" s="21" t="str">
        <f>IFERROR(INDEX('ORG-Metrics'!$A$1:$U$38,MATCH($C30,'ORG-Metrics'!$A$1:$A$38,0),MATCH(K$1,'ORG-Metrics'!$1:$1,0)),"")</f>
        <v/>
      </c>
      <c r="L30" s="21" t="str">
        <f>IFERROR(INDEX('ORG-Metrics'!$A$1:$U$38,MATCH($C30,'ORG-Metrics'!$A$1:$A$38,0),MATCH(L$1,'ORG-Metrics'!$1:$1,0)),"")</f>
        <v/>
      </c>
      <c r="M30" s="21" t="str">
        <f>IFERROR(INDEX('ORG-Metrics'!$A$1:$U$38,MATCH($C30,'ORG-Metrics'!$A$1:$A$38,0),MATCH(M$1,'ORG-Metrics'!$1:$1,0)),"")</f>
        <v/>
      </c>
      <c r="N30" s="21" t="str">
        <f>IFERROR(INDEX('ORG-Metrics'!$A$1:$U$38,MATCH($C30,'ORG-Metrics'!$A$1:$A$38,0),MATCH(N$1,'ORG-Metrics'!$1:$1,0)),"")</f>
        <v/>
      </c>
      <c r="O30" s="21" t="str">
        <f>IFERROR(INDEX('ORG-Metrics'!$A$1:$U$38,MATCH($C30,'ORG-Metrics'!$A$1:$A$38,0),MATCH(O$1,'ORG-Metrics'!$1:$1,0)),"")</f>
        <v/>
      </c>
      <c r="P30" s="21" t="str">
        <f>IFERROR(INDEX('ORG-Metrics'!$A$1:$U$38,MATCH($C30,'ORG-Metrics'!$A$1:$A$38,0),MATCH(P$1,'ORG-Metrics'!$1:$1,0)),"")</f>
        <v/>
      </c>
      <c r="Q30" s="21" t="str">
        <f>IFERROR(INDEX('ORG-Metrics'!$A$1:$U$38,MATCH($C30,'ORG-Metrics'!$A$1:$A$38,0),MATCH(Q$1,'ORG-Metrics'!$1:$1,0)),"")</f>
        <v/>
      </c>
      <c r="R30" s="21" t="str">
        <f>IFERROR(INDEX('ORG-Metrics'!$A$1:$U$38,MATCH($C30,'ORG-Metrics'!$A$1:$A$38,0),MATCH(R$1,'ORG-Metrics'!$1:$1,0)),"")</f>
        <v/>
      </c>
      <c r="S30" s="21" t="str">
        <f>IFERROR(INDEX('ORG-Metrics'!$A$1:$U$38,MATCH($C30,'ORG-Metrics'!$A$1:$A$38,0),MATCH(S$1,'ORG-Metrics'!$1:$1,0)),"")</f>
        <v/>
      </c>
      <c r="T30" s="21" t="str">
        <f>IFERROR(INDEX('ORG-Metrics'!$A$1:$U$38,MATCH($C30,'ORG-Metrics'!$A$1:$A$38,0),MATCH(T$1,'ORG-Metrics'!$1:$1,0)),"")</f>
        <v/>
      </c>
      <c r="U30" s="21" t="str">
        <f>IFERROR(INDEX('ORG-Metrics'!$A$1:$U$38,MATCH($C30,'ORG-Metrics'!$A$1:$A$38,0),MATCH(U$1,'ORG-Metrics'!$1:$1,0)),"")</f>
        <v/>
      </c>
      <c r="V30" t="str">
        <f>IFERROR(INDEX('ORG-Metrics'!$A$1:$U$38,MATCH($C30,'ORG-Metrics'!$A$1:$A$38,0),MATCH(V$1,'ORG-Metrics'!$1:$1,0)),"")</f>
        <v/>
      </c>
      <c r="W30" t="str">
        <f>IFERROR(INDEX('ORG-Metrics'!$A$1:$U$38,MATCH($C30,'ORG-Metrics'!$A$1:$A$38,0),MATCH(W$1,'ORG-Metrics'!$1:$1,0)),"")</f>
        <v/>
      </c>
    </row>
    <row r="31" spans="1:23" x14ac:dyDescent="0.3">
      <c r="D31" s="21" t="str">
        <f>IFERROR(INDEX('ORG-Metrics'!$A$1:$U$38,MATCH($C31,'ORG-Metrics'!$A$1:$A$38,0),MATCH(D$1,'ORG-Metrics'!$1:$1,0)),"")</f>
        <v/>
      </c>
      <c r="E31" s="21" t="str">
        <f>IFERROR(INDEX('ORG-Metrics'!$A$1:$U$38,MATCH($C31,'ORG-Metrics'!$A$1:$A$38,0),MATCH(E$1,'ORG-Metrics'!$1:$1,0)),"")</f>
        <v/>
      </c>
      <c r="F31" s="21" t="str">
        <f>IFERROR(INDEX('ORG-Metrics'!$A$1:$U$38,MATCH($C31,'ORG-Metrics'!$A$1:$A$38,0),MATCH(F$1,'ORG-Metrics'!$1:$1,0)),"")</f>
        <v/>
      </c>
      <c r="G31" s="21" t="str">
        <f>IFERROR(INDEX('ORG-Metrics'!$A$1:$U$38,MATCH($C31,'ORG-Metrics'!$A$1:$A$38,0),MATCH(G$1,'ORG-Metrics'!$1:$1,0)),"")</f>
        <v/>
      </c>
      <c r="H31" s="21" t="str">
        <f>IFERROR(INDEX('ORG-Metrics'!$A$1:$U$38,MATCH($C31,'ORG-Metrics'!$A$1:$A$38,0),MATCH(H$1,'ORG-Metrics'!$1:$1,0)),"")</f>
        <v/>
      </c>
      <c r="I31" s="21" t="str">
        <f>IFERROR(INDEX('ORG-Metrics'!$A$1:$U$38,MATCH($C31,'ORG-Metrics'!$A$1:$A$38,0),MATCH(I$1,'ORG-Metrics'!$1:$1,0)),"")</f>
        <v/>
      </c>
      <c r="J31" s="21" t="str">
        <f>IFERROR(INDEX('ORG-Metrics'!$A$1:$U$38,MATCH($C31,'ORG-Metrics'!$A$1:$A$38,0),MATCH(J$1,'ORG-Metrics'!$1:$1,0)),"")</f>
        <v/>
      </c>
      <c r="K31" s="21" t="str">
        <f>IFERROR(INDEX('ORG-Metrics'!$A$1:$U$38,MATCH($C31,'ORG-Metrics'!$A$1:$A$38,0),MATCH(K$1,'ORG-Metrics'!$1:$1,0)),"")</f>
        <v/>
      </c>
      <c r="L31" s="21" t="str">
        <f>IFERROR(INDEX('ORG-Metrics'!$A$1:$U$38,MATCH($C31,'ORG-Metrics'!$A$1:$A$38,0),MATCH(L$1,'ORG-Metrics'!$1:$1,0)),"")</f>
        <v/>
      </c>
      <c r="M31" s="21" t="str">
        <f>IFERROR(INDEX('ORG-Metrics'!$A$1:$U$38,MATCH($C31,'ORG-Metrics'!$A$1:$A$38,0),MATCH(M$1,'ORG-Metrics'!$1:$1,0)),"")</f>
        <v/>
      </c>
      <c r="N31" s="21" t="str">
        <f>IFERROR(INDEX('ORG-Metrics'!$A$1:$U$38,MATCH($C31,'ORG-Metrics'!$A$1:$A$38,0),MATCH(N$1,'ORG-Metrics'!$1:$1,0)),"")</f>
        <v/>
      </c>
      <c r="O31" s="21" t="str">
        <f>IFERROR(INDEX('ORG-Metrics'!$A$1:$U$38,MATCH($C31,'ORG-Metrics'!$A$1:$A$38,0),MATCH(O$1,'ORG-Metrics'!$1:$1,0)),"")</f>
        <v/>
      </c>
      <c r="P31" s="21" t="str">
        <f>IFERROR(INDEX('ORG-Metrics'!$A$1:$U$38,MATCH($C31,'ORG-Metrics'!$A$1:$A$38,0),MATCH(P$1,'ORG-Metrics'!$1:$1,0)),"")</f>
        <v/>
      </c>
      <c r="Q31" s="21" t="str">
        <f>IFERROR(INDEX('ORG-Metrics'!$A$1:$U$38,MATCH($C31,'ORG-Metrics'!$A$1:$A$38,0),MATCH(Q$1,'ORG-Metrics'!$1:$1,0)),"")</f>
        <v/>
      </c>
      <c r="R31" s="21" t="str">
        <f>IFERROR(INDEX('ORG-Metrics'!$A$1:$U$38,MATCH($C31,'ORG-Metrics'!$A$1:$A$38,0),MATCH(R$1,'ORG-Metrics'!$1:$1,0)),"")</f>
        <v/>
      </c>
      <c r="S31" s="21" t="str">
        <f>IFERROR(INDEX('ORG-Metrics'!$A$1:$U$38,MATCH($C31,'ORG-Metrics'!$A$1:$A$38,0),MATCH(S$1,'ORG-Metrics'!$1:$1,0)),"")</f>
        <v/>
      </c>
      <c r="T31" s="21" t="str">
        <f>IFERROR(INDEX('ORG-Metrics'!$A$1:$U$38,MATCH($C31,'ORG-Metrics'!$A$1:$A$38,0),MATCH(T$1,'ORG-Metrics'!$1:$1,0)),"")</f>
        <v/>
      </c>
      <c r="U31" s="21" t="str">
        <f>IFERROR(INDEX('ORG-Metrics'!$A$1:$U$38,MATCH($C31,'ORG-Metrics'!$A$1:$A$38,0),MATCH(U$1,'ORG-Metrics'!$1:$1,0)),"")</f>
        <v/>
      </c>
      <c r="V31" t="str">
        <f>IFERROR(INDEX('ORG-Metrics'!$A$1:$U$38,MATCH($C31,'ORG-Metrics'!$A$1:$A$38,0),MATCH(V$1,'ORG-Metrics'!$1:$1,0)),"")</f>
        <v/>
      </c>
      <c r="W31" t="str">
        <f>IFERROR(INDEX('ORG-Metrics'!$A$1:$U$38,MATCH($C31,'ORG-Metrics'!$A$1:$A$38,0),MATCH(W$1,'ORG-Metrics'!$1:$1,0)),"")</f>
        <v/>
      </c>
    </row>
    <row r="32" spans="1:23" x14ac:dyDescent="0.3">
      <c r="D32" s="21" t="str">
        <f>IFERROR(INDEX('ORG-Metrics'!$A$1:$U$38,MATCH($C32,'ORG-Metrics'!$A$1:$A$38,0),MATCH(D$1,'ORG-Metrics'!$1:$1,0)),"")</f>
        <v/>
      </c>
      <c r="E32" s="21" t="str">
        <f>IFERROR(INDEX('ORG-Metrics'!$A$1:$U$38,MATCH($C32,'ORG-Metrics'!$A$1:$A$38,0),MATCH(E$1,'ORG-Metrics'!$1:$1,0)),"")</f>
        <v/>
      </c>
      <c r="F32" s="21" t="str">
        <f>IFERROR(INDEX('ORG-Metrics'!$A$1:$U$38,MATCH($C32,'ORG-Metrics'!$A$1:$A$38,0),MATCH(F$1,'ORG-Metrics'!$1:$1,0)),"")</f>
        <v/>
      </c>
      <c r="G32" s="21" t="str">
        <f>IFERROR(INDEX('ORG-Metrics'!$A$1:$U$38,MATCH($C32,'ORG-Metrics'!$A$1:$A$38,0),MATCH(G$1,'ORG-Metrics'!$1:$1,0)),"")</f>
        <v/>
      </c>
      <c r="H32" s="21" t="str">
        <f>IFERROR(INDEX('ORG-Metrics'!$A$1:$U$38,MATCH($C32,'ORG-Metrics'!$A$1:$A$38,0),MATCH(H$1,'ORG-Metrics'!$1:$1,0)),"")</f>
        <v/>
      </c>
      <c r="I32" s="21" t="str">
        <f>IFERROR(INDEX('ORG-Metrics'!$A$1:$U$38,MATCH($C32,'ORG-Metrics'!$A$1:$A$38,0),MATCH(I$1,'ORG-Metrics'!$1:$1,0)),"")</f>
        <v/>
      </c>
      <c r="J32" s="21" t="str">
        <f>IFERROR(INDEX('ORG-Metrics'!$A$1:$U$38,MATCH($C32,'ORG-Metrics'!$A$1:$A$38,0),MATCH(J$1,'ORG-Metrics'!$1:$1,0)),"")</f>
        <v/>
      </c>
      <c r="K32" s="21" t="str">
        <f>IFERROR(INDEX('ORG-Metrics'!$A$1:$U$38,MATCH($C32,'ORG-Metrics'!$A$1:$A$38,0),MATCH(K$1,'ORG-Metrics'!$1:$1,0)),"")</f>
        <v/>
      </c>
      <c r="L32" s="21" t="str">
        <f>IFERROR(INDEX('ORG-Metrics'!$A$1:$U$38,MATCH($C32,'ORG-Metrics'!$A$1:$A$38,0),MATCH(L$1,'ORG-Metrics'!$1:$1,0)),"")</f>
        <v/>
      </c>
      <c r="M32" s="21" t="str">
        <f>IFERROR(INDEX('ORG-Metrics'!$A$1:$U$38,MATCH($C32,'ORG-Metrics'!$A$1:$A$38,0),MATCH(M$1,'ORG-Metrics'!$1:$1,0)),"")</f>
        <v/>
      </c>
      <c r="N32" s="21" t="str">
        <f>IFERROR(INDEX('ORG-Metrics'!$A$1:$U$38,MATCH($C32,'ORG-Metrics'!$A$1:$A$38,0),MATCH(N$1,'ORG-Metrics'!$1:$1,0)),"")</f>
        <v/>
      </c>
      <c r="O32" s="21" t="str">
        <f>IFERROR(INDEX('ORG-Metrics'!$A$1:$U$38,MATCH($C32,'ORG-Metrics'!$A$1:$A$38,0),MATCH(O$1,'ORG-Metrics'!$1:$1,0)),"")</f>
        <v/>
      </c>
      <c r="P32" s="21" t="str">
        <f>IFERROR(INDEX('ORG-Metrics'!$A$1:$U$38,MATCH($C32,'ORG-Metrics'!$A$1:$A$38,0),MATCH(P$1,'ORG-Metrics'!$1:$1,0)),"")</f>
        <v/>
      </c>
      <c r="Q32" s="21" t="str">
        <f>IFERROR(INDEX('ORG-Metrics'!$A$1:$U$38,MATCH($C32,'ORG-Metrics'!$A$1:$A$38,0),MATCH(Q$1,'ORG-Metrics'!$1:$1,0)),"")</f>
        <v/>
      </c>
      <c r="R32" s="21" t="str">
        <f>IFERROR(INDEX('ORG-Metrics'!$A$1:$U$38,MATCH($C32,'ORG-Metrics'!$A$1:$A$38,0),MATCH(R$1,'ORG-Metrics'!$1:$1,0)),"")</f>
        <v/>
      </c>
      <c r="S32" s="21" t="str">
        <f>IFERROR(INDEX('ORG-Metrics'!$A$1:$U$38,MATCH($C32,'ORG-Metrics'!$A$1:$A$38,0),MATCH(S$1,'ORG-Metrics'!$1:$1,0)),"")</f>
        <v/>
      </c>
      <c r="T32" s="21" t="str">
        <f>IFERROR(INDEX('ORG-Metrics'!$A$1:$U$38,MATCH($C32,'ORG-Metrics'!$A$1:$A$38,0),MATCH(T$1,'ORG-Metrics'!$1:$1,0)),"")</f>
        <v/>
      </c>
      <c r="U32" s="21" t="str">
        <f>IFERROR(INDEX('ORG-Metrics'!$A$1:$U$38,MATCH($C32,'ORG-Metrics'!$A$1:$A$38,0),MATCH(U$1,'ORG-Metrics'!$1:$1,0)),"")</f>
        <v/>
      </c>
      <c r="V32" t="str">
        <f>IFERROR(INDEX('ORG-Metrics'!$A$1:$U$38,MATCH($C32,'ORG-Metrics'!$A$1:$A$38,0),MATCH(V$1,'ORG-Metrics'!$1:$1,0)),"")</f>
        <v/>
      </c>
      <c r="W32" t="str">
        <f>IFERROR(INDEX('ORG-Metrics'!$A$1:$U$38,MATCH($C32,'ORG-Metrics'!$A$1:$A$38,0),MATCH(W$1,'ORG-Metrics'!$1:$1,0)),"")</f>
        <v/>
      </c>
    </row>
    <row r="33" spans="4:23" x14ac:dyDescent="0.3">
      <c r="D33" s="21" t="str">
        <f>IFERROR(INDEX('ORG-Metrics'!$A$1:$U$38,MATCH($C33,'ORG-Metrics'!$A$1:$A$38,0),MATCH(D$1,'ORG-Metrics'!$1:$1,0)),"")</f>
        <v/>
      </c>
      <c r="E33" s="21" t="str">
        <f>IFERROR(INDEX('ORG-Metrics'!$A$1:$U$38,MATCH($C33,'ORG-Metrics'!$A$1:$A$38,0),MATCH(E$1,'ORG-Metrics'!$1:$1,0)),"")</f>
        <v/>
      </c>
      <c r="F33" s="21" t="str">
        <f>IFERROR(INDEX('ORG-Metrics'!$A$1:$U$38,MATCH($C33,'ORG-Metrics'!$A$1:$A$38,0),MATCH(F$1,'ORG-Metrics'!$1:$1,0)),"")</f>
        <v/>
      </c>
      <c r="G33" s="21" t="str">
        <f>IFERROR(INDEX('ORG-Metrics'!$A$1:$U$38,MATCH($C33,'ORG-Metrics'!$A$1:$A$38,0),MATCH(G$1,'ORG-Metrics'!$1:$1,0)),"")</f>
        <v/>
      </c>
      <c r="H33" s="21" t="str">
        <f>IFERROR(INDEX('ORG-Metrics'!$A$1:$U$38,MATCH($C33,'ORG-Metrics'!$A$1:$A$38,0),MATCH(H$1,'ORG-Metrics'!$1:$1,0)),"")</f>
        <v/>
      </c>
      <c r="I33" s="21" t="str">
        <f>IFERROR(INDEX('ORG-Metrics'!$A$1:$U$38,MATCH($C33,'ORG-Metrics'!$A$1:$A$38,0),MATCH(I$1,'ORG-Metrics'!$1:$1,0)),"")</f>
        <v/>
      </c>
      <c r="J33" s="21" t="str">
        <f>IFERROR(INDEX('ORG-Metrics'!$A$1:$U$38,MATCH($C33,'ORG-Metrics'!$A$1:$A$38,0),MATCH(J$1,'ORG-Metrics'!$1:$1,0)),"")</f>
        <v/>
      </c>
      <c r="K33" s="21" t="str">
        <f>IFERROR(INDEX('ORG-Metrics'!$A$1:$U$38,MATCH($C33,'ORG-Metrics'!$A$1:$A$38,0),MATCH(K$1,'ORG-Metrics'!$1:$1,0)),"")</f>
        <v/>
      </c>
      <c r="L33" s="21" t="str">
        <f>IFERROR(INDEX('ORG-Metrics'!$A$1:$U$38,MATCH($C33,'ORG-Metrics'!$A$1:$A$38,0),MATCH(L$1,'ORG-Metrics'!$1:$1,0)),"")</f>
        <v/>
      </c>
      <c r="M33" s="21" t="str">
        <f>IFERROR(INDEX('ORG-Metrics'!$A$1:$U$38,MATCH($C33,'ORG-Metrics'!$A$1:$A$38,0),MATCH(M$1,'ORG-Metrics'!$1:$1,0)),"")</f>
        <v/>
      </c>
      <c r="N33" s="21" t="str">
        <f>IFERROR(INDEX('ORG-Metrics'!$A$1:$U$38,MATCH($C33,'ORG-Metrics'!$A$1:$A$38,0),MATCH(N$1,'ORG-Metrics'!$1:$1,0)),"")</f>
        <v/>
      </c>
      <c r="O33" s="21" t="str">
        <f>IFERROR(INDEX('ORG-Metrics'!$A$1:$U$38,MATCH($C33,'ORG-Metrics'!$A$1:$A$38,0),MATCH(O$1,'ORG-Metrics'!$1:$1,0)),"")</f>
        <v/>
      </c>
      <c r="P33" s="21" t="str">
        <f>IFERROR(INDEX('ORG-Metrics'!$A$1:$U$38,MATCH($C33,'ORG-Metrics'!$A$1:$A$38,0),MATCH(P$1,'ORG-Metrics'!$1:$1,0)),"")</f>
        <v/>
      </c>
      <c r="Q33" s="21" t="str">
        <f>IFERROR(INDEX('ORG-Metrics'!$A$1:$U$38,MATCH($C33,'ORG-Metrics'!$A$1:$A$38,0),MATCH(Q$1,'ORG-Metrics'!$1:$1,0)),"")</f>
        <v/>
      </c>
      <c r="R33" s="21" t="str">
        <f>IFERROR(INDEX('ORG-Metrics'!$A$1:$U$38,MATCH($C33,'ORG-Metrics'!$A$1:$A$38,0),MATCH(R$1,'ORG-Metrics'!$1:$1,0)),"")</f>
        <v/>
      </c>
      <c r="S33" s="21" t="str">
        <f>IFERROR(INDEX('ORG-Metrics'!$A$1:$U$38,MATCH($C33,'ORG-Metrics'!$A$1:$A$38,0),MATCH(S$1,'ORG-Metrics'!$1:$1,0)),"")</f>
        <v/>
      </c>
      <c r="T33" s="21" t="str">
        <f>IFERROR(INDEX('ORG-Metrics'!$A$1:$U$38,MATCH($C33,'ORG-Metrics'!$A$1:$A$38,0),MATCH(T$1,'ORG-Metrics'!$1:$1,0)),"")</f>
        <v/>
      </c>
      <c r="U33" s="21" t="str">
        <f>IFERROR(INDEX('ORG-Metrics'!$A$1:$U$38,MATCH($C33,'ORG-Metrics'!$A$1:$A$38,0),MATCH(U$1,'ORG-Metrics'!$1:$1,0)),"")</f>
        <v/>
      </c>
      <c r="V33" t="str">
        <f>IFERROR(INDEX('ORG-Metrics'!$A$1:$U$38,MATCH($C33,'ORG-Metrics'!$A$1:$A$38,0),MATCH(V$1,'ORG-Metrics'!$1:$1,0)),"")</f>
        <v/>
      </c>
      <c r="W33" t="str">
        <f>IFERROR(INDEX('ORG-Metrics'!$A$1:$U$38,MATCH($C33,'ORG-Metrics'!$A$1:$A$38,0),MATCH(W$1,'ORG-Metrics'!$1:$1,0)),"")</f>
        <v/>
      </c>
    </row>
    <row r="34" spans="4:23" x14ac:dyDescent="0.3">
      <c r="D34" s="21" t="str">
        <f>IFERROR(INDEX('ORG-Metrics'!$A$1:$U$38,MATCH($C34,'ORG-Metrics'!$A$1:$A$38,0),MATCH(D$1,'ORG-Metrics'!$1:$1,0)),"")</f>
        <v/>
      </c>
      <c r="E34" s="21" t="str">
        <f>IFERROR(INDEX('ORG-Metrics'!$A$1:$U$38,MATCH($C34,'ORG-Metrics'!$A$1:$A$38,0),MATCH(E$1,'ORG-Metrics'!$1:$1,0)),"")</f>
        <v/>
      </c>
      <c r="F34" s="21" t="str">
        <f>IFERROR(INDEX('ORG-Metrics'!$A$1:$U$38,MATCH($C34,'ORG-Metrics'!$A$1:$A$38,0),MATCH(F$1,'ORG-Metrics'!$1:$1,0)),"")</f>
        <v/>
      </c>
      <c r="G34" s="21" t="str">
        <f>IFERROR(INDEX('ORG-Metrics'!$A$1:$U$38,MATCH($C34,'ORG-Metrics'!$A$1:$A$38,0),MATCH(G$1,'ORG-Metrics'!$1:$1,0)),"")</f>
        <v/>
      </c>
      <c r="H34" s="21" t="str">
        <f>IFERROR(INDEX('ORG-Metrics'!$A$1:$U$38,MATCH($C34,'ORG-Metrics'!$A$1:$A$38,0),MATCH(H$1,'ORG-Metrics'!$1:$1,0)),"")</f>
        <v/>
      </c>
      <c r="I34" s="21" t="str">
        <f>IFERROR(INDEX('ORG-Metrics'!$A$1:$U$38,MATCH($C34,'ORG-Metrics'!$A$1:$A$38,0),MATCH(I$1,'ORG-Metrics'!$1:$1,0)),"")</f>
        <v/>
      </c>
      <c r="J34" s="21" t="str">
        <f>IFERROR(INDEX('ORG-Metrics'!$A$1:$U$38,MATCH($C34,'ORG-Metrics'!$A$1:$A$38,0),MATCH(J$1,'ORG-Metrics'!$1:$1,0)),"")</f>
        <v/>
      </c>
      <c r="K34" s="21" t="str">
        <f>IFERROR(INDEX('ORG-Metrics'!$A$1:$U$38,MATCH($C34,'ORG-Metrics'!$A$1:$A$38,0),MATCH(K$1,'ORG-Metrics'!$1:$1,0)),"")</f>
        <v/>
      </c>
      <c r="L34" s="21" t="str">
        <f>IFERROR(INDEX('ORG-Metrics'!$A$1:$U$38,MATCH($C34,'ORG-Metrics'!$A$1:$A$38,0),MATCH(L$1,'ORG-Metrics'!$1:$1,0)),"")</f>
        <v/>
      </c>
      <c r="M34" s="21" t="str">
        <f>IFERROR(INDEX('ORG-Metrics'!$A$1:$U$38,MATCH($C34,'ORG-Metrics'!$A$1:$A$38,0),MATCH(M$1,'ORG-Metrics'!$1:$1,0)),"")</f>
        <v/>
      </c>
      <c r="N34" s="21" t="str">
        <f>IFERROR(INDEX('ORG-Metrics'!$A$1:$U$38,MATCH($C34,'ORG-Metrics'!$A$1:$A$38,0),MATCH(N$1,'ORG-Metrics'!$1:$1,0)),"")</f>
        <v/>
      </c>
      <c r="O34" s="21" t="str">
        <f>IFERROR(INDEX('ORG-Metrics'!$A$1:$U$38,MATCH($C34,'ORG-Metrics'!$A$1:$A$38,0),MATCH(O$1,'ORG-Metrics'!$1:$1,0)),"")</f>
        <v/>
      </c>
      <c r="P34" s="21" t="str">
        <f>IFERROR(INDEX('ORG-Metrics'!$A$1:$U$38,MATCH($C34,'ORG-Metrics'!$A$1:$A$38,0),MATCH(P$1,'ORG-Metrics'!$1:$1,0)),"")</f>
        <v/>
      </c>
      <c r="Q34" s="21" t="str">
        <f>IFERROR(INDEX('ORG-Metrics'!$A$1:$U$38,MATCH($C34,'ORG-Metrics'!$A$1:$A$38,0),MATCH(Q$1,'ORG-Metrics'!$1:$1,0)),"")</f>
        <v/>
      </c>
      <c r="R34" s="21" t="str">
        <f>IFERROR(INDEX('ORG-Metrics'!$A$1:$U$38,MATCH($C34,'ORG-Metrics'!$A$1:$A$38,0),MATCH(R$1,'ORG-Metrics'!$1:$1,0)),"")</f>
        <v/>
      </c>
      <c r="S34" s="21" t="str">
        <f>IFERROR(INDEX('ORG-Metrics'!$A$1:$U$38,MATCH($C34,'ORG-Metrics'!$A$1:$A$38,0),MATCH(S$1,'ORG-Metrics'!$1:$1,0)),"")</f>
        <v/>
      </c>
      <c r="T34" s="21" t="str">
        <f>IFERROR(INDEX('ORG-Metrics'!$A$1:$U$38,MATCH($C34,'ORG-Metrics'!$A$1:$A$38,0),MATCH(T$1,'ORG-Metrics'!$1:$1,0)),"")</f>
        <v/>
      </c>
      <c r="U34" s="21" t="str">
        <f>IFERROR(INDEX('ORG-Metrics'!$A$1:$U$38,MATCH($C34,'ORG-Metrics'!$A$1:$A$38,0),MATCH(U$1,'ORG-Metrics'!$1:$1,0)),"")</f>
        <v/>
      </c>
      <c r="V34" t="str">
        <f>IFERROR(INDEX('ORG-Metrics'!$A$1:$U$38,MATCH($C34,'ORG-Metrics'!$A$1:$A$38,0),MATCH(V$1,'ORG-Metrics'!$1:$1,0)),"")</f>
        <v/>
      </c>
      <c r="W34" t="str">
        <f>IFERROR(INDEX('ORG-Metrics'!$A$1:$U$38,MATCH($C34,'ORG-Metrics'!$A$1:$A$38,0),MATCH(W$1,'ORG-Metrics'!$1:$1,0)),"")</f>
        <v/>
      </c>
    </row>
    <row r="35" spans="4:23" x14ac:dyDescent="0.3">
      <c r="D35" s="21" t="str">
        <f>IFERROR(INDEX('ORG-Metrics'!$A$1:$U$38,MATCH($C35,'ORG-Metrics'!$A$1:$A$38,0),MATCH(D$1,'ORG-Metrics'!$1:$1,0)),"")</f>
        <v/>
      </c>
      <c r="E35" s="21" t="str">
        <f>IFERROR(INDEX('ORG-Metrics'!$A$1:$U$38,MATCH($C35,'ORG-Metrics'!$A$1:$A$38,0),MATCH(E$1,'ORG-Metrics'!$1:$1,0)),"")</f>
        <v/>
      </c>
      <c r="F35" s="21" t="str">
        <f>IFERROR(INDEX('ORG-Metrics'!$A$1:$U$38,MATCH($C35,'ORG-Metrics'!$A$1:$A$38,0),MATCH(F$1,'ORG-Metrics'!$1:$1,0)),"")</f>
        <v/>
      </c>
      <c r="G35" s="21" t="str">
        <f>IFERROR(INDEX('ORG-Metrics'!$A$1:$U$38,MATCH($C35,'ORG-Metrics'!$A$1:$A$38,0),MATCH(G$1,'ORG-Metrics'!$1:$1,0)),"")</f>
        <v/>
      </c>
      <c r="H35" s="21" t="str">
        <f>IFERROR(INDEX('ORG-Metrics'!$A$1:$U$38,MATCH($C35,'ORG-Metrics'!$A$1:$A$38,0),MATCH(H$1,'ORG-Metrics'!$1:$1,0)),"")</f>
        <v/>
      </c>
      <c r="I35" s="21" t="str">
        <f>IFERROR(INDEX('ORG-Metrics'!$A$1:$U$38,MATCH($C35,'ORG-Metrics'!$A$1:$A$38,0),MATCH(I$1,'ORG-Metrics'!$1:$1,0)),"")</f>
        <v/>
      </c>
      <c r="J35" s="21" t="str">
        <f>IFERROR(INDEX('ORG-Metrics'!$A$1:$U$38,MATCH($C35,'ORG-Metrics'!$A$1:$A$38,0),MATCH(J$1,'ORG-Metrics'!$1:$1,0)),"")</f>
        <v/>
      </c>
      <c r="K35" s="21" t="str">
        <f>IFERROR(INDEX('ORG-Metrics'!$A$1:$U$38,MATCH($C35,'ORG-Metrics'!$A$1:$A$38,0),MATCH(K$1,'ORG-Metrics'!$1:$1,0)),"")</f>
        <v/>
      </c>
      <c r="L35" s="21" t="str">
        <f>IFERROR(INDEX('ORG-Metrics'!$A$1:$U$38,MATCH($C35,'ORG-Metrics'!$A$1:$A$38,0),MATCH(L$1,'ORG-Metrics'!$1:$1,0)),"")</f>
        <v/>
      </c>
      <c r="M35" s="21" t="str">
        <f>IFERROR(INDEX('ORG-Metrics'!$A$1:$U$38,MATCH($C35,'ORG-Metrics'!$A$1:$A$38,0),MATCH(M$1,'ORG-Metrics'!$1:$1,0)),"")</f>
        <v/>
      </c>
      <c r="N35" s="21" t="str">
        <f>IFERROR(INDEX('ORG-Metrics'!$A$1:$U$38,MATCH($C35,'ORG-Metrics'!$A$1:$A$38,0),MATCH(N$1,'ORG-Metrics'!$1:$1,0)),"")</f>
        <v/>
      </c>
      <c r="O35" s="21" t="str">
        <f>IFERROR(INDEX('ORG-Metrics'!$A$1:$U$38,MATCH($C35,'ORG-Metrics'!$A$1:$A$38,0),MATCH(O$1,'ORG-Metrics'!$1:$1,0)),"")</f>
        <v/>
      </c>
      <c r="P35" s="21" t="str">
        <f>IFERROR(INDEX('ORG-Metrics'!$A$1:$U$38,MATCH($C35,'ORG-Metrics'!$A$1:$A$38,0),MATCH(P$1,'ORG-Metrics'!$1:$1,0)),"")</f>
        <v/>
      </c>
      <c r="Q35" s="21" t="str">
        <f>IFERROR(INDEX('ORG-Metrics'!$A$1:$U$38,MATCH($C35,'ORG-Metrics'!$A$1:$A$38,0),MATCH(Q$1,'ORG-Metrics'!$1:$1,0)),"")</f>
        <v/>
      </c>
      <c r="R35" s="21" t="str">
        <f>IFERROR(INDEX('ORG-Metrics'!$A$1:$U$38,MATCH($C35,'ORG-Metrics'!$A$1:$A$38,0),MATCH(R$1,'ORG-Metrics'!$1:$1,0)),"")</f>
        <v/>
      </c>
      <c r="S35" s="21" t="str">
        <f>IFERROR(INDEX('ORG-Metrics'!$A$1:$U$38,MATCH($C35,'ORG-Metrics'!$A$1:$A$38,0),MATCH(S$1,'ORG-Metrics'!$1:$1,0)),"")</f>
        <v/>
      </c>
      <c r="T35" s="21" t="str">
        <f>IFERROR(INDEX('ORG-Metrics'!$A$1:$U$38,MATCH($C35,'ORG-Metrics'!$A$1:$A$38,0),MATCH(T$1,'ORG-Metrics'!$1:$1,0)),"")</f>
        <v/>
      </c>
      <c r="U35" s="21" t="str">
        <f>IFERROR(INDEX('ORG-Metrics'!$A$1:$U$38,MATCH($C35,'ORG-Metrics'!$A$1:$A$38,0),MATCH(U$1,'ORG-Metrics'!$1:$1,0)),"")</f>
        <v/>
      </c>
      <c r="V35" t="str">
        <f>IFERROR(INDEX('ORG-Metrics'!$A$1:$U$38,MATCH($C35,'ORG-Metrics'!$A$1:$A$38,0),MATCH(V$1,'ORG-Metrics'!$1:$1,0)),"")</f>
        <v/>
      </c>
      <c r="W35" t="str">
        <f>IFERROR(INDEX('ORG-Metrics'!$A$1:$U$38,MATCH($C35,'ORG-Metrics'!$A$1:$A$38,0),MATCH(W$1,'ORG-Metrics'!$1:$1,0)),"")</f>
        <v/>
      </c>
    </row>
    <row r="36" spans="4:23" x14ac:dyDescent="0.3">
      <c r="D36" s="21" t="str">
        <f>IFERROR(INDEX('ORG-Metrics'!$A$1:$U$38,MATCH($C36,'ORG-Metrics'!$A$1:$A$38,0),MATCH(D$1,'ORG-Metrics'!$1:$1,0)),"")</f>
        <v/>
      </c>
      <c r="E36" s="21" t="str">
        <f>IFERROR(INDEX('ORG-Metrics'!$A$1:$U$38,MATCH($C36,'ORG-Metrics'!$A$1:$A$38,0),MATCH(E$1,'ORG-Metrics'!$1:$1,0)),"")</f>
        <v/>
      </c>
      <c r="F36" s="21" t="str">
        <f>IFERROR(INDEX('ORG-Metrics'!$A$1:$U$38,MATCH($C36,'ORG-Metrics'!$A$1:$A$38,0),MATCH(F$1,'ORG-Metrics'!$1:$1,0)),"")</f>
        <v/>
      </c>
      <c r="G36" s="21" t="str">
        <f>IFERROR(INDEX('ORG-Metrics'!$A$1:$U$38,MATCH($C36,'ORG-Metrics'!$A$1:$A$38,0),MATCH(G$1,'ORG-Metrics'!$1:$1,0)),"")</f>
        <v/>
      </c>
      <c r="H36" s="21" t="str">
        <f>IFERROR(INDEX('ORG-Metrics'!$A$1:$U$38,MATCH($C36,'ORG-Metrics'!$A$1:$A$38,0),MATCH(H$1,'ORG-Metrics'!$1:$1,0)),"")</f>
        <v/>
      </c>
      <c r="I36" s="21" t="str">
        <f>IFERROR(INDEX('ORG-Metrics'!$A$1:$U$38,MATCH($C36,'ORG-Metrics'!$A$1:$A$38,0),MATCH(I$1,'ORG-Metrics'!$1:$1,0)),"")</f>
        <v/>
      </c>
      <c r="J36" s="21" t="str">
        <f>IFERROR(INDEX('ORG-Metrics'!$A$1:$U$38,MATCH($C36,'ORG-Metrics'!$A$1:$A$38,0),MATCH(J$1,'ORG-Metrics'!$1:$1,0)),"")</f>
        <v/>
      </c>
      <c r="K36" s="21" t="str">
        <f>IFERROR(INDEX('ORG-Metrics'!$A$1:$U$38,MATCH($C36,'ORG-Metrics'!$A$1:$A$38,0),MATCH(K$1,'ORG-Metrics'!$1:$1,0)),"")</f>
        <v/>
      </c>
      <c r="L36" s="21" t="str">
        <f>IFERROR(INDEX('ORG-Metrics'!$A$1:$U$38,MATCH($C36,'ORG-Metrics'!$A$1:$A$38,0),MATCH(L$1,'ORG-Metrics'!$1:$1,0)),"")</f>
        <v/>
      </c>
      <c r="M36" s="21" t="str">
        <f>IFERROR(INDEX('ORG-Metrics'!$A$1:$U$38,MATCH($C36,'ORG-Metrics'!$A$1:$A$38,0),MATCH(M$1,'ORG-Metrics'!$1:$1,0)),"")</f>
        <v/>
      </c>
      <c r="N36" s="21" t="str">
        <f>IFERROR(INDEX('ORG-Metrics'!$A$1:$U$38,MATCH($C36,'ORG-Metrics'!$A$1:$A$38,0),MATCH(N$1,'ORG-Metrics'!$1:$1,0)),"")</f>
        <v/>
      </c>
      <c r="O36" s="21" t="str">
        <f>IFERROR(INDEX('ORG-Metrics'!$A$1:$U$38,MATCH($C36,'ORG-Metrics'!$A$1:$A$38,0),MATCH(O$1,'ORG-Metrics'!$1:$1,0)),"")</f>
        <v/>
      </c>
      <c r="P36" s="21" t="str">
        <f>IFERROR(INDEX('ORG-Metrics'!$A$1:$U$38,MATCH($C36,'ORG-Metrics'!$A$1:$A$38,0),MATCH(P$1,'ORG-Metrics'!$1:$1,0)),"")</f>
        <v/>
      </c>
      <c r="Q36" s="21" t="str">
        <f>IFERROR(INDEX('ORG-Metrics'!$A$1:$U$38,MATCH($C36,'ORG-Metrics'!$A$1:$A$38,0),MATCH(Q$1,'ORG-Metrics'!$1:$1,0)),"")</f>
        <v/>
      </c>
      <c r="R36" s="21" t="str">
        <f>IFERROR(INDEX('ORG-Metrics'!$A$1:$U$38,MATCH($C36,'ORG-Metrics'!$A$1:$A$38,0),MATCH(R$1,'ORG-Metrics'!$1:$1,0)),"")</f>
        <v/>
      </c>
      <c r="S36" s="21" t="str">
        <f>IFERROR(INDEX('ORG-Metrics'!$A$1:$U$38,MATCH($C36,'ORG-Metrics'!$A$1:$A$38,0),MATCH(S$1,'ORG-Metrics'!$1:$1,0)),"")</f>
        <v/>
      </c>
      <c r="T36" s="21" t="str">
        <f>IFERROR(INDEX('ORG-Metrics'!$A$1:$U$38,MATCH($C36,'ORG-Metrics'!$A$1:$A$38,0),MATCH(T$1,'ORG-Metrics'!$1:$1,0)),"")</f>
        <v/>
      </c>
      <c r="U36" s="21" t="str">
        <f>IFERROR(INDEX('ORG-Metrics'!$A$1:$U$38,MATCH($C36,'ORG-Metrics'!$A$1:$A$38,0),MATCH(U$1,'ORG-Metrics'!$1:$1,0)),"")</f>
        <v/>
      </c>
      <c r="V36" t="str">
        <f>IFERROR(INDEX('ORG-Metrics'!$A$1:$U$38,MATCH($C36,'ORG-Metrics'!$A$1:$A$38,0),MATCH(V$1,'ORG-Metrics'!$1:$1,0)),"")</f>
        <v/>
      </c>
      <c r="W36" t="str">
        <f>IFERROR(INDEX('ORG-Metrics'!$A$1:$U$38,MATCH($C36,'ORG-Metrics'!$A$1:$A$38,0),MATCH(W$1,'ORG-Metrics'!$1:$1,0)),"")</f>
        <v/>
      </c>
    </row>
    <row r="37" spans="4:23" x14ac:dyDescent="0.3">
      <c r="D37" s="21" t="str">
        <f>IFERROR(INDEX('ORG-Metrics'!$A$1:$U$38,MATCH($C37,'ORG-Metrics'!$A$1:$A$38,0),MATCH(D$1,'ORG-Metrics'!$1:$1,0)),"")</f>
        <v/>
      </c>
      <c r="E37" s="21" t="str">
        <f>IFERROR(INDEX('ORG-Metrics'!$A$1:$U$38,MATCH($C37,'ORG-Metrics'!$A$1:$A$38,0),MATCH(E$1,'ORG-Metrics'!$1:$1,0)),"")</f>
        <v/>
      </c>
      <c r="F37" s="21" t="str">
        <f>IFERROR(INDEX('ORG-Metrics'!$A$1:$U$38,MATCH($C37,'ORG-Metrics'!$A$1:$A$38,0),MATCH(F$1,'ORG-Metrics'!$1:$1,0)),"")</f>
        <v/>
      </c>
      <c r="G37" s="21" t="str">
        <f>IFERROR(INDEX('ORG-Metrics'!$A$1:$U$38,MATCH($C37,'ORG-Metrics'!$A$1:$A$38,0),MATCH(G$1,'ORG-Metrics'!$1:$1,0)),"")</f>
        <v/>
      </c>
      <c r="H37" s="21" t="str">
        <f>IFERROR(INDEX('ORG-Metrics'!$A$1:$U$38,MATCH($C37,'ORG-Metrics'!$A$1:$A$38,0),MATCH(H$1,'ORG-Metrics'!$1:$1,0)),"")</f>
        <v/>
      </c>
      <c r="I37" s="21" t="str">
        <f>IFERROR(INDEX('ORG-Metrics'!$A$1:$U$38,MATCH($C37,'ORG-Metrics'!$A$1:$A$38,0),MATCH(I$1,'ORG-Metrics'!$1:$1,0)),"")</f>
        <v/>
      </c>
      <c r="J37" s="21" t="str">
        <f>IFERROR(INDEX('ORG-Metrics'!$A$1:$U$38,MATCH($C37,'ORG-Metrics'!$A$1:$A$38,0),MATCH(J$1,'ORG-Metrics'!$1:$1,0)),"")</f>
        <v/>
      </c>
      <c r="K37" s="21" t="str">
        <f>IFERROR(INDEX('ORG-Metrics'!$A$1:$U$38,MATCH($C37,'ORG-Metrics'!$A$1:$A$38,0),MATCH(K$1,'ORG-Metrics'!$1:$1,0)),"")</f>
        <v/>
      </c>
      <c r="L37" s="21" t="str">
        <f>IFERROR(INDEX('ORG-Metrics'!$A$1:$U$38,MATCH($C37,'ORG-Metrics'!$A$1:$A$38,0),MATCH(L$1,'ORG-Metrics'!$1:$1,0)),"")</f>
        <v/>
      </c>
      <c r="M37" s="21" t="str">
        <f>IFERROR(INDEX('ORG-Metrics'!$A$1:$U$38,MATCH($C37,'ORG-Metrics'!$A$1:$A$38,0),MATCH(M$1,'ORG-Metrics'!$1:$1,0)),"")</f>
        <v/>
      </c>
      <c r="N37" s="21" t="str">
        <f>IFERROR(INDEX('ORG-Metrics'!$A$1:$U$38,MATCH($C37,'ORG-Metrics'!$A$1:$A$38,0),MATCH(N$1,'ORG-Metrics'!$1:$1,0)),"")</f>
        <v/>
      </c>
      <c r="O37" s="21" t="str">
        <f>IFERROR(INDEX('ORG-Metrics'!$A$1:$U$38,MATCH($C37,'ORG-Metrics'!$A$1:$A$38,0),MATCH(O$1,'ORG-Metrics'!$1:$1,0)),"")</f>
        <v/>
      </c>
      <c r="P37" s="21" t="str">
        <f>IFERROR(INDEX('ORG-Metrics'!$A$1:$U$38,MATCH($C37,'ORG-Metrics'!$A$1:$A$38,0),MATCH(P$1,'ORG-Metrics'!$1:$1,0)),"")</f>
        <v/>
      </c>
      <c r="Q37" s="21" t="str">
        <f>IFERROR(INDEX('ORG-Metrics'!$A$1:$U$38,MATCH($C37,'ORG-Metrics'!$A$1:$A$38,0),MATCH(Q$1,'ORG-Metrics'!$1:$1,0)),"")</f>
        <v/>
      </c>
      <c r="R37" s="21" t="str">
        <f>IFERROR(INDEX('ORG-Metrics'!$A$1:$U$38,MATCH($C37,'ORG-Metrics'!$A$1:$A$38,0),MATCH(R$1,'ORG-Metrics'!$1:$1,0)),"")</f>
        <v/>
      </c>
      <c r="S37" s="21" t="str">
        <f>IFERROR(INDEX('ORG-Metrics'!$A$1:$U$38,MATCH($C37,'ORG-Metrics'!$A$1:$A$38,0),MATCH(S$1,'ORG-Metrics'!$1:$1,0)),"")</f>
        <v/>
      </c>
      <c r="T37" s="21" t="str">
        <f>IFERROR(INDEX('ORG-Metrics'!$A$1:$U$38,MATCH($C37,'ORG-Metrics'!$A$1:$A$38,0),MATCH(T$1,'ORG-Metrics'!$1:$1,0)),"")</f>
        <v/>
      </c>
      <c r="U37" s="21" t="str">
        <f>IFERROR(INDEX('ORG-Metrics'!$A$1:$U$38,MATCH($C37,'ORG-Metrics'!$A$1:$A$38,0),MATCH(U$1,'ORG-Metrics'!$1:$1,0)),"")</f>
        <v/>
      </c>
      <c r="V37" t="str">
        <f>IFERROR(INDEX('ORG-Metrics'!$A$1:$U$38,MATCH($C37,'ORG-Metrics'!$A$1:$A$38,0),MATCH(V$1,'ORG-Metrics'!$1:$1,0)),"")</f>
        <v/>
      </c>
      <c r="W37" t="str">
        <f>IFERROR(INDEX('ORG-Metrics'!$A$1:$U$38,MATCH($C37,'ORG-Metrics'!$A$1:$A$38,0),MATCH(W$1,'ORG-Metrics'!$1:$1,0)),"")</f>
        <v/>
      </c>
    </row>
    <row r="38" spans="4:23" x14ac:dyDescent="0.3">
      <c r="D38" s="21" t="str">
        <f>IFERROR(INDEX('ORG-Metrics'!$A$1:$U$38,MATCH($C38,'ORG-Metrics'!$A$1:$A$38,0),MATCH(D$1,'ORG-Metrics'!$1:$1,0)),"")</f>
        <v/>
      </c>
      <c r="E38" s="21" t="str">
        <f>IFERROR(INDEX('ORG-Metrics'!$A$1:$U$38,MATCH($C38,'ORG-Metrics'!$A$1:$A$38,0),MATCH(E$1,'ORG-Metrics'!$1:$1,0)),"")</f>
        <v/>
      </c>
      <c r="F38" s="21" t="str">
        <f>IFERROR(INDEX('ORG-Metrics'!$A$1:$U$38,MATCH($C38,'ORG-Metrics'!$A$1:$A$38,0),MATCH(F$1,'ORG-Metrics'!$1:$1,0)),"")</f>
        <v/>
      </c>
      <c r="G38" s="21" t="str">
        <f>IFERROR(INDEX('ORG-Metrics'!$A$1:$U$38,MATCH($C38,'ORG-Metrics'!$A$1:$A$38,0),MATCH(G$1,'ORG-Metrics'!$1:$1,0)),"")</f>
        <v/>
      </c>
      <c r="H38" s="21" t="str">
        <f>IFERROR(INDEX('ORG-Metrics'!$A$1:$U$38,MATCH($C38,'ORG-Metrics'!$A$1:$A$38,0),MATCH(H$1,'ORG-Metrics'!$1:$1,0)),"")</f>
        <v/>
      </c>
      <c r="I38" s="21" t="str">
        <f>IFERROR(INDEX('ORG-Metrics'!$A$1:$U$38,MATCH($C38,'ORG-Metrics'!$A$1:$A$38,0),MATCH(I$1,'ORG-Metrics'!$1:$1,0)),"")</f>
        <v/>
      </c>
      <c r="J38" s="21" t="str">
        <f>IFERROR(INDEX('ORG-Metrics'!$A$1:$U$38,MATCH($C38,'ORG-Metrics'!$A$1:$A$38,0),MATCH(J$1,'ORG-Metrics'!$1:$1,0)),"")</f>
        <v/>
      </c>
      <c r="K38" s="21" t="str">
        <f>IFERROR(INDEX('ORG-Metrics'!$A$1:$U$38,MATCH($C38,'ORG-Metrics'!$A$1:$A$38,0),MATCH(K$1,'ORG-Metrics'!$1:$1,0)),"")</f>
        <v/>
      </c>
      <c r="L38" s="21" t="str">
        <f>IFERROR(INDEX('ORG-Metrics'!$A$1:$U$38,MATCH($C38,'ORG-Metrics'!$A$1:$A$38,0),MATCH(L$1,'ORG-Metrics'!$1:$1,0)),"")</f>
        <v/>
      </c>
      <c r="M38" s="21" t="str">
        <f>IFERROR(INDEX('ORG-Metrics'!$A$1:$U$38,MATCH($C38,'ORG-Metrics'!$A$1:$A$38,0),MATCH(M$1,'ORG-Metrics'!$1:$1,0)),"")</f>
        <v/>
      </c>
      <c r="N38" s="21" t="str">
        <f>IFERROR(INDEX('ORG-Metrics'!$A$1:$U$38,MATCH($C38,'ORG-Metrics'!$A$1:$A$38,0),MATCH(N$1,'ORG-Metrics'!$1:$1,0)),"")</f>
        <v/>
      </c>
      <c r="O38" s="21" t="str">
        <f>IFERROR(INDEX('ORG-Metrics'!$A$1:$U$38,MATCH($C38,'ORG-Metrics'!$A$1:$A$38,0),MATCH(O$1,'ORG-Metrics'!$1:$1,0)),"")</f>
        <v/>
      </c>
      <c r="P38" s="21" t="str">
        <f>IFERROR(INDEX('ORG-Metrics'!$A$1:$U$38,MATCH($C38,'ORG-Metrics'!$A$1:$A$38,0),MATCH(P$1,'ORG-Metrics'!$1:$1,0)),"")</f>
        <v/>
      </c>
      <c r="Q38" s="21" t="str">
        <f>IFERROR(INDEX('ORG-Metrics'!$A$1:$U$38,MATCH($C38,'ORG-Metrics'!$A$1:$A$38,0),MATCH(Q$1,'ORG-Metrics'!$1:$1,0)),"")</f>
        <v/>
      </c>
      <c r="R38" s="21" t="str">
        <f>IFERROR(INDEX('ORG-Metrics'!$A$1:$U$38,MATCH($C38,'ORG-Metrics'!$A$1:$A$38,0),MATCH(R$1,'ORG-Metrics'!$1:$1,0)),"")</f>
        <v/>
      </c>
      <c r="S38" s="21" t="str">
        <f>IFERROR(INDEX('ORG-Metrics'!$A$1:$U$38,MATCH($C38,'ORG-Metrics'!$A$1:$A$38,0),MATCH(S$1,'ORG-Metrics'!$1:$1,0)),"")</f>
        <v/>
      </c>
      <c r="T38" s="21" t="str">
        <f>IFERROR(INDEX('ORG-Metrics'!$A$1:$U$38,MATCH($C38,'ORG-Metrics'!$A$1:$A$38,0),MATCH(T$1,'ORG-Metrics'!$1:$1,0)),"")</f>
        <v/>
      </c>
      <c r="U38" s="21" t="str">
        <f>IFERROR(INDEX('ORG-Metrics'!$A$1:$U$38,MATCH($C38,'ORG-Metrics'!$A$1:$A$38,0),MATCH(U$1,'ORG-Metrics'!$1:$1,0)),"")</f>
        <v/>
      </c>
      <c r="V38" t="str">
        <f>IFERROR(INDEX('ORG-Metrics'!$A$1:$U$38,MATCH($C38,'ORG-Metrics'!$A$1:$A$38,0),MATCH(V$1,'ORG-Metrics'!$1:$1,0)),"")</f>
        <v/>
      </c>
      <c r="W38" t="str">
        <f>IFERROR(INDEX('ORG-Metrics'!$A$1:$U$38,MATCH($C38,'ORG-Metrics'!$A$1:$A$38,0),MATCH(W$1,'ORG-Metrics'!$1:$1,0)),"")</f>
        <v/>
      </c>
    </row>
    <row r="39" spans="4:23" x14ac:dyDescent="0.3">
      <c r="D39" s="21" t="str">
        <f>IFERROR(INDEX('ORG-Metrics'!$A$1:$U$38,MATCH($C39,'ORG-Metrics'!$A$1:$A$38,0),MATCH(D$1,'ORG-Metrics'!$1:$1,0)),"")</f>
        <v/>
      </c>
      <c r="E39" s="21" t="str">
        <f>IFERROR(INDEX('ORG-Metrics'!$A$1:$U$38,MATCH($C39,'ORG-Metrics'!$A$1:$A$38,0),MATCH(E$1,'ORG-Metrics'!$1:$1,0)),"")</f>
        <v/>
      </c>
      <c r="F39" s="21" t="str">
        <f>IFERROR(INDEX('ORG-Metrics'!$A$1:$U$38,MATCH($C39,'ORG-Metrics'!$A$1:$A$38,0),MATCH(F$1,'ORG-Metrics'!$1:$1,0)),"")</f>
        <v/>
      </c>
      <c r="G39" s="21" t="str">
        <f>IFERROR(INDEX('ORG-Metrics'!$A$1:$U$38,MATCH($C39,'ORG-Metrics'!$A$1:$A$38,0),MATCH(G$1,'ORG-Metrics'!$1:$1,0)),"")</f>
        <v/>
      </c>
      <c r="H39" s="21" t="str">
        <f>IFERROR(INDEX('ORG-Metrics'!$A$1:$U$38,MATCH($C39,'ORG-Metrics'!$A$1:$A$38,0),MATCH(H$1,'ORG-Metrics'!$1:$1,0)),"")</f>
        <v/>
      </c>
      <c r="I39" s="21" t="str">
        <f>IFERROR(INDEX('ORG-Metrics'!$A$1:$U$38,MATCH($C39,'ORG-Metrics'!$A$1:$A$38,0),MATCH(I$1,'ORG-Metrics'!$1:$1,0)),"")</f>
        <v/>
      </c>
      <c r="J39" s="21" t="str">
        <f>IFERROR(INDEX('ORG-Metrics'!$A$1:$U$38,MATCH($C39,'ORG-Metrics'!$A$1:$A$38,0),MATCH(J$1,'ORG-Metrics'!$1:$1,0)),"")</f>
        <v/>
      </c>
      <c r="K39" s="21" t="str">
        <f>IFERROR(INDEX('ORG-Metrics'!$A$1:$U$38,MATCH($C39,'ORG-Metrics'!$A$1:$A$38,0),MATCH(K$1,'ORG-Metrics'!$1:$1,0)),"")</f>
        <v/>
      </c>
      <c r="L39" s="21" t="str">
        <f>IFERROR(INDEX('ORG-Metrics'!$A$1:$U$38,MATCH($C39,'ORG-Metrics'!$A$1:$A$38,0),MATCH(L$1,'ORG-Metrics'!$1:$1,0)),"")</f>
        <v/>
      </c>
      <c r="M39" s="21" t="str">
        <f>IFERROR(INDEX('ORG-Metrics'!$A$1:$U$38,MATCH($C39,'ORG-Metrics'!$A$1:$A$38,0),MATCH(M$1,'ORG-Metrics'!$1:$1,0)),"")</f>
        <v/>
      </c>
      <c r="N39" s="21" t="str">
        <f>IFERROR(INDEX('ORG-Metrics'!$A$1:$U$38,MATCH($C39,'ORG-Metrics'!$A$1:$A$38,0),MATCH(N$1,'ORG-Metrics'!$1:$1,0)),"")</f>
        <v/>
      </c>
      <c r="O39" s="21" t="str">
        <f>IFERROR(INDEX('ORG-Metrics'!$A$1:$U$38,MATCH($C39,'ORG-Metrics'!$A$1:$A$38,0),MATCH(O$1,'ORG-Metrics'!$1:$1,0)),"")</f>
        <v/>
      </c>
      <c r="P39" s="21" t="str">
        <f>IFERROR(INDEX('ORG-Metrics'!$A$1:$U$38,MATCH($C39,'ORG-Metrics'!$A$1:$A$38,0),MATCH(P$1,'ORG-Metrics'!$1:$1,0)),"")</f>
        <v/>
      </c>
      <c r="Q39" s="21" t="str">
        <f>IFERROR(INDEX('ORG-Metrics'!$A$1:$U$38,MATCH($C39,'ORG-Metrics'!$A$1:$A$38,0),MATCH(Q$1,'ORG-Metrics'!$1:$1,0)),"")</f>
        <v/>
      </c>
      <c r="R39" s="21" t="str">
        <f>IFERROR(INDEX('ORG-Metrics'!$A$1:$U$38,MATCH($C39,'ORG-Metrics'!$A$1:$A$38,0),MATCH(R$1,'ORG-Metrics'!$1:$1,0)),"")</f>
        <v/>
      </c>
      <c r="S39" s="21" t="str">
        <f>IFERROR(INDEX('ORG-Metrics'!$A$1:$U$38,MATCH($C39,'ORG-Metrics'!$A$1:$A$38,0),MATCH(S$1,'ORG-Metrics'!$1:$1,0)),"")</f>
        <v/>
      </c>
      <c r="T39" s="21" t="str">
        <f>IFERROR(INDEX('ORG-Metrics'!$A$1:$U$38,MATCH($C39,'ORG-Metrics'!$A$1:$A$38,0),MATCH(T$1,'ORG-Metrics'!$1:$1,0)),"")</f>
        <v/>
      </c>
      <c r="U39" s="21" t="str">
        <f>IFERROR(INDEX('ORG-Metrics'!$A$1:$U$38,MATCH($C39,'ORG-Metrics'!$A$1:$A$38,0),MATCH(U$1,'ORG-Metrics'!$1:$1,0)),"")</f>
        <v/>
      </c>
      <c r="V39" t="str">
        <f>IFERROR(INDEX('ORG-Metrics'!$A$1:$U$38,MATCH($C39,'ORG-Metrics'!$A$1:$A$38,0),MATCH(V$1,'ORG-Metrics'!$1:$1,0)),"")</f>
        <v/>
      </c>
      <c r="W39" t="str">
        <f>IFERROR(INDEX('ORG-Metrics'!$A$1:$U$38,MATCH($C39,'ORG-Metrics'!$A$1:$A$38,0),MATCH(W$1,'ORG-Metrics'!$1:$1,0)),"")</f>
        <v/>
      </c>
    </row>
    <row r="40" spans="4:23" x14ac:dyDescent="0.3">
      <c r="D40" s="21" t="str">
        <f>IFERROR(INDEX('ORG-Metrics'!$A$1:$U$38,MATCH($C40,'ORG-Metrics'!$A$1:$A$38,0),MATCH(D$1,'ORG-Metrics'!$1:$1,0)),"")</f>
        <v/>
      </c>
      <c r="E40" s="21" t="str">
        <f>IFERROR(INDEX('ORG-Metrics'!$A$1:$U$38,MATCH($C40,'ORG-Metrics'!$A$1:$A$38,0),MATCH(E$1,'ORG-Metrics'!$1:$1,0)),"")</f>
        <v/>
      </c>
      <c r="F40" s="21" t="str">
        <f>IFERROR(INDEX('ORG-Metrics'!$A$1:$U$38,MATCH($C40,'ORG-Metrics'!$A$1:$A$38,0),MATCH(F$1,'ORG-Metrics'!$1:$1,0)),"")</f>
        <v/>
      </c>
      <c r="G40" s="21" t="str">
        <f>IFERROR(INDEX('ORG-Metrics'!$A$1:$U$38,MATCH($C40,'ORG-Metrics'!$A$1:$A$38,0),MATCH(G$1,'ORG-Metrics'!$1:$1,0)),"")</f>
        <v/>
      </c>
      <c r="H40" s="21" t="str">
        <f>IFERROR(INDEX('ORG-Metrics'!$A$1:$U$38,MATCH($C40,'ORG-Metrics'!$A$1:$A$38,0),MATCH(H$1,'ORG-Metrics'!$1:$1,0)),"")</f>
        <v/>
      </c>
      <c r="I40" s="21" t="str">
        <f>IFERROR(INDEX('ORG-Metrics'!$A$1:$U$38,MATCH($C40,'ORG-Metrics'!$A$1:$A$38,0),MATCH(I$1,'ORG-Metrics'!$1:$1,0)),"")</f>
        <v/>
      </c>
      <c r="J40" s="21" t="str">
        <f>IFERROR(INDEX('ORG-Metrics'!$A$1:$U$38,MATCH($C40,'ORG-Metrics'!$A$1:$A$38,0),MATCH(J$1,'ORG-Metrics'!$1:$1,0)),"")</f>
        <v/>
      </c>
      <c r="K40" s="21" t="str">
        <f>IFERROR(INDEX('ORG-Metrics'!$A$1:$U$38,MATCH($C40,'ORG-Metrics'!$A$1:$A$38,0),MATCH(K$1,'ORG-Metrics'!$1:$1,0)),"")</f>
        <v/>
      </c>
      <c r="L40" s="21" t="str">
        <f>IFERROR(INDEX('ORG-Metrics'!$A$1:$U$38,MATCH($C40,'ORG-Metrics'!$A$1:$A$38,0),MATCH(L$1,'ORG-Metrics'!$1:$1,0)),"")</f>
        <v/>
      </c>
      <c r="M40" s="21" t="str">
        <f>IFERROR(INDEX('ORG-Metrics'!$A$1:$U$38,MATCH($C40,'ORG-Metrics'!$A$1:$A$38,0),MATCH(M$1,'ORG-Metrics'!$1:$1,0)),"")</f>
        <v/>
      </c>
      <c r="N40" s="21" t="str">
        <f>IFERROR(INDEX('ORG-Metrics'!$A$1:$U$38,MATCH($C40,'ORG-Metrics'!$A$1:$A$38,0),MATCH(N$1,'ORG-Metrics'!$1:$1,0)),"")</f>
        <v/>
      </c>
      <c r="O40" s="21" t="str">
        <f>IFERROR(INDEX('ORG-Metrics'!$A$1:$U$38,MATCH($C40,'ORG-Metrics'!$A$1:$A$38,0),MATCH(O$1,'ORG-Metrics'!$1:$1,0)),"")</f>
        <v/>
      </c>
      <c r="P40" s="21" t="str">
        <f>IFERROR(INDEX('ORG-Metrics'!$A$1:$U$38,MATCH($C40,'ORG-Metrics'!$A$1:$A$38,0),MATCH(P$1,'ORG-Metrics'!$1:$1,0)),"")</f>
        <v/>
      </c>
      <c r="Q40" s="21" t="str">
        <f>IFERROR(INDEX('ORG-Metrics'!$A$1:$U$38,MATCH($C40,'ORG-Metrics'!$A$1:$A$38,0),MATCH(Q$1,'ORG-Metrics'!$1:$1,0)),"")</f>
        <v/>
      </c>
      <c r="R40" s="21" t="str">
        <f>IFERROR(INDEX('ORG-Metrics'!$A$1:$U$38,MATCH($C40,'ORG-Metrics'!$A$1:$A$38,0),MATCH(R$1,'ORG-Metrics'!$1:$1,0)),"")</f>
        <v/>
      </c>
      <c r="S40" s="21" t="str">
        <f>IFERROR(INDEX('ORG-Metrics'!$A$1:$U$38,MATCH($C40,'ORG-Metrics'!$A$1:$A$38,0),MATCH(S$1,'ORG-Metrics'!$1:$1,0)),"")</f>
        <v/>
      </c>
      <c r="T40" s="21" t="str">
        <f>IFERROR(INDEX('ORG-Metrics'!$A$1:$U$38,MATCH($C40,'ORG-Metrics'!$A$1:$A$38,0),MATCH(T$1,'ORG-Metrics'!$1:$1,0)),"")</f>
        <v/>
      </c>
      <c r="U40" s="21" t="str">
        <f>IFERROR(INDEX('ORG-Metrics'!$A$1:$U$38,MATCH($C40,'ORG-Metrics'!$A$1:$A$38,0),MATCH(U$1,'ORG-Metrics'!$1:$1,0)),"")</f>
        <v/>
      </c>
      <c r="V40" t="str">
        <f>IFERROR(INDEX('ORG-Metrics'!$A$1:$U$38,MATCH($C40,'ORG-Metrics'!$A$1:$A$38,0),MATCH(V$1,'ORG-Metrics'!$1:$1,0)),"")</f>
        <v/>
      </c>
      <c r="W40" t="str">
        <f>IFERROR(INDEX('ORG-Metrics'!$A$1:$U$38,MATCH($C40,'ORG-Metrics'!$A$1:$A$38,0),MATCH(W$1,'ORG-Metrics'!$1:$1,0)),"")</f>
        <v/>
      </c>
    </row>
    <row r="41" spans="4:23" x14ac:dyDescent="0.3">
      <c r="D41" s="21" t="str">
        <f>IFERROR(INDEX('ORG-Metrics'!$A$1:$U$38,MATCH($C41,'ORG-Metrics'!$A$1:$A$38,0),MATCH(D$1,'ORG-Metrics'!$1:$1,0)),"")</f>
        <v/>
      </c>
      <c r="E41" s="21" t="str">
        <f>IFERROR(INDEX('ORG-Metrics'!$A$1:$U$38,MATCH($C41,'ORG-Metrics'!$A$1:$A$38,0),MATCH(E$1,'ORG-Metrics'!$1:$1,0)),"")</f>
        <v/>
      </c>
      <c r="F41" s="21" t="str">
        <f>IFERROR(INDEX('ORG-Metrics'!$A$1:$U$38,MATCH($C41,'ORG-Metrics'!$A$1:$A$38,0),MATCH(F$1,'ORG-Metrics'!$1:$1,0)),"")</f>
        <v/>
      </c>
      <c r="G41" s="21" t="str">
        <f>IFERROR(INDEX('ORG-Metrics'!$A$1:$U$38,MATCH($C41,'ORG-Metrics'!$A$1:$A$38,0),MATCH(G$1,'ORG-Metrics'!$1:$1,0)),"")</f>
        <v/>
      </c>
      <c r="H41" s="21" t="str">
        <f>IFERROR(INDEX('ORG-Metrics'!$A$1:$U$38,MATCH($C41,'ORG-Metrics'!$A$1:$A$38,0),MATCH(H$1,'ORG-Metrics'!$1:$1,0)),"")</f>
        <v/>
      </c>
      <c r="I41" s="21" t="str">
        <f>IFERROR(INDEX('ORG-Metrics'!$A$1:$U$38,MATCH($C41,'ORG-Metrics'!$A$1:$A$38,0),MATCH(I$1,'ORG-Metrics'!$1:$1,0)),"")</f>
        <v/>
      </c>
      <c r="J41" s="21" t="str">
        <f>IFERROR(INDEX('ORG-Metrics'!$A$1:$U$38,MATCH($C41,'ORG-Metrics'!$A$1:$A$38,0),MATCH(J$1,'ORG-Metrics'!$1:$1,0)),"")</f>
        <v/>
      </c>
      <c r="K41" s="21" t="str">
        <f>IFERROR(INDEX('ORG-Metrics'!$A$1:$U$38,MATCH($C41,'ORG-Metrics'!$A$1:$A$38,0),MATCH(K$1,'ORG-Metrics'!$1:$1,0)),"")</f>
        <v/>
      </c>
      <c r="L41" s="21" t="str">
        <f>IFERROR(INDEX('ORG-Metrics'!$A$1:$U$38,MATCH($C41,'ORG-Metrics'!$A$1:$A$38,0),MATCH(L$1,'ORG-Metrics'!$1:$1,0)),"")</f>
        <v/>
      </c>
      <c r="M41" s="21" t="str">
        <f>IFERROR(INDEX('ORG-Metrics'!$A$1:$U$38,MATCH($C41,'ORG-Metrics'!$A$1:$A$38,0),MATCH(M$1,'ORG-Metrics'!$1:$1,0)),"")</f>
        <v/>
      </c>
      <c r="N41" s="21" t="str">
        <f>IFERROR(INDEX('ORG-Metrics'!$A$1:$U$38,MATCH($C41,'ORG-Metrics'!$A$1:$A$38,0),MATCH(N$1,'ORG-Metrics'!$1:$1,0)),"")</f>
        <v/>
      </c>
      <c r="O41" s="21" t="str">
        <f>IFERROR(INDEX('ORG-Metrics'!$A$1:$U$38,MATCH($C41,'ORG-Metrics'!$A$1:$A$38,0),MATCH(O$1,'ORG-Metrics'!$1:$1,0)),"")</f>
        <v/>
      </c>
      <c r="P41" s="21" t="str">
        <f>IFERROR(INDEX('ORG-Metrics'!$A$1:$U$38,MATCH($C41,'ORG-Metrics'!$A$1:$A$38,0),MATCH(P$1,'ORG-Metrics'!$1:$1,0)),"")</f>
        <v/>
      </c>
      <c r="Q41" s="21" t="str">
        <f>IFERROR(INDEX('ORG-Metrics'!$A$1:$U$38,MATCH($C41,'ORG-Metrics'!$A$1:$A$38,0),MATCH(Q$1,'ORG-Metrics'!$1:$1,0)),"")</f>
        <v/>
      </c>
      <c r="R41" s="21" t="str">
        <f>IFERROR(INDEX('ORG-Metrics'!$A$1:$U$38,MATCH($C41,'ORG-Metrics'!$A$1:$A$38,0),MATCH(R$1,'ORG-Metrics'!$1:$1,0)),"")</f>
        <v/>
      </c>
      <c r="S41" s="21" t="str">
        <f>IFERROR(INDEX('ORG-Metrics'!$A$1:$U$38,MATCH($C41,'ORG-Metrics'!$A$1:$A$38,0),MATCH(S$1,'ORG-Metrics'!$1:$1,0)),"")</f>
        <v/>
      </c>
      <c r="T41" s="21" t="str">
        <f>IFERROR(INDEX('ORG-Metrics'!$A$1:$U$38,MATCH($C41,'ORG-Metrics'!$A$1:$A$38,0),MATCH(T$1,'ORG-Metrics'!$1:$1,0)),"")</f>
        <v/>
      </c>
      <c r="U41" s="21" t="str">
        <f>IFERROR(INDEX('ORG-Metrics'!$A$1:$U$38,MATCH($C41,'ORG-Metrics'!$A$1:$A$38,0),MATCH(U$1,'ORG-Metrics'!$1:$1,0)),"")</f>
        <v/>
      </c>
      <c r="V41" t="str">
        <f>IFERROR(INDEX('ORG-Metrics'!$A$1:$U$38,MATCH($C41,'ORG-Metrics'!$A$1:$A$38,0),MATCH(V$1,'ORG-Metrics'!$1:$1,0)),"")</f>
        <v/>
      </c>
      <c r="W41" t="str">
        <f>IFERROR(INDEX('ORG-Metrics'!$A$1:$U$38,MATCH($C41,'ORG-Metrics'!$A$1:$A$38,0),MATCH(W$1,'ORG-Metrics'!$1:$1,0)),"")</f>
        <v/>
      </c>
    </row>
    <row r="42" spans="4:23" x14ac:dyDescent="0.3">
      <c r="D42" s="21" t="str">
        <f>IFERROR(INDEX('ORG-Metrics'!$A$1:$U$38,MATCH($C42,'ORG-Metrics'!$A$1:$A$38,0),MATCH(D$1,'ORG-Metrics'!$1:$1,0)),"")</f>
        <v/>
      </c>
      <c r="E42" s="21" t="str">
        <f>IFERROR(INDEX('ORG-Metrics'!$A$1:$U$38,MATCH($C42,'ORG-Metrics'!$A$1:$A$38,0),MATCH(E$1,'ORG-Metrics'!$1:$1,0)),"")</f>
        <v/>
      </c>
      <c r="F42" s="21" t="str">
        <f>IFERROR(INDEX('ORG-Metrics'!$A$1:$U$38,MATCH($C42,'ORG-Metrics'!$A$1:$A$38,0),MATCH(F$1,'ORG-Metrics'!$1:$1,0)),"")</f>
        <v/>
      </c>
      <c r="G42" s="21" t="str">
        <f>IFERROR(INDEX('ORG-Metrics'!$A$1:$U$38,MATCH($C42,'ORG-Metrics'!$A$1:$A$38,0),MATCH(G$1,'ORG-Metrics'!$1:$1,0)),"")</f>
        <v/>
      </c>
      <c r="H42" s="21" t="str">
        <f>IFERROR(INDEX('ORG-Metrics'!$A$1:$U$38,MATCH($C42,'ORG-Metrics'!$A$1:$A$38,0),MATCH(H$1,'ORG-Metrics'!$1:$1,0)),"")</f>
        <v/>
      </c>
      <c r="I42" s="21" t="str">
        <f>IFERROR(INDEX('ORG-Metrics'!$A$1:$U$38,MATCH($C42,'ORG-Metrics'!$A$1:$A$38,0),MATCH(I$1,'ORG-Metrics'!$1:$1,0)),"")</f>
        <v/>
      </c>
      <c r="J42" s="21" t="str">
        <f>IFERROR(INDEX('ORG-Metrics'!$A$1:$U$38,MATCH($C42,'ORG-Metrics'!$A$1:$A$38,0),MATCH(J$1,'ORG-Metrics'!$1:$1,0)),"")</f>
        <v/>
      </c>
      <c r="K42" s="21" t="str">
        <f>IFERROR(INDEX('ORG-Metrics'!$A$1:$U$38,MATCH($C42,'ORG-Metrics'!$A$1:$A$38,0),MATCH(K$1,'ORG-Metrics'!$1:$1,0)),"")</f>
        <v/>
      </c>
      <c r="L42" s="21" t="str">
        <f>IFERROR(INDEX('ORG-Metrics'!$A$1:$U$38,MATCH($C42,'ORG-Metrics'!$A$1:$A$38,0),MATCH(L$1,'ORG-Metrics'!$1:$1,0)),"")</f>
        <v/>
      </c>
      <c r="M42" s="21" t="str">
        <f>IFERROR(INDEX('ORG-Metrics'!$A$1:$U$38,MATCH($C42,'ORG-Metrics'!$A$1:$A$38,0),MATCH(M$1,'ORG-Metrics'!$1:$1,0)),"")</f>
        <v/>
      </c>
      <c r="N42" s="21" t="str">
        <f>IFERROR(INDEX('ORG-Metrics'!$A$1:$U$38,MATCH($C42,'ORG-Metrics'!$A$1:$A$38,0),MATCH(N$1,'ORG-Metrics'!$1:$1,0)),"")</f>
        <v/>
      </c>
      <c r="O42" s="21" t="str">
        <f>IFERROR(INDEX('ORG-Metrics'!$A$1:$U$38,MATCH($C42,'ORG-Metrics'!$A$1:$A$38,0),MATCH(O$1,'ORG-Metrics'!$1:$1,0)),"")</f>
        <v/>
      </c>
      <c r="P42" s="21" t="str">
        <f>IFERROR(INDEX('ORG-Metrics'!$A$1:$U$38,MATCH($C42,'ORG-Metrics'!$A$1:$A$38,0),MATCH(P$1,'ORG-Metrics'!$1:$1,0)),"")</f>
        <v/>
      </c>
      <c r="Q42" s="21" t="str">
        <f>IFERROR(INDEX('ORG-Metrics'!$A$1:$U$38,MATCH($C42,'ORG-Metrics'!$A$1:$A$38,0),MATCH(Q$1,'ORG-Metrics'!$1:$1,0)),"")</f>
        <v/>
      </c>
      <c r="R42" s="21" t="str">
        <f>IFERROR(INDEX('ORG-Metrics'!$A$1:$U$38,MATCH($C42,'ORG-Metrics'!$A$1:$A$38,0),MATCH(R$1,'ORG-Metrics'!$1:$1,0)),"")</f>
        <v/>
      </c>
      <c r="S42" s="21" t="str">
        <f>IFERROR(INDEX('ORG-Metrics'!$A$1:$U$38,MATCH($C42,'ORG-Metrics'!$A$1:$A$38,0),MATCH(S$1,'ORG-Metrics'!$1:$1,0)),"")</f>
        <v/>
      </c>
      <c r="T42" s="21" t="str">
        <f>IFERROR(INDEX('ORG-Metrics'!$A$1:$U$38,MATCH($C42,'ORG-Metrics'!$A$1:$A$38,0),MATCH(T$1,'ORG-Metrics'!$1:$1,0)),"")</f>
        <v/>
      </c>
      <c r="U42" s="21" t="str">
        <f>IFERROR(INDEX('ORG-Metrics'!$A$1:$U$38,MATCH($C42,'ORG-Metrics'!$A$1:$A$38,0),MATCH(U$1,'ORG-Metrics'!$1:$1,0)),"")</f>
        <v/>
      </c>
      <c r="V42" t="str">
        <f>IFERROR(INDEX('ORG-Metrics'!$A$1:$U$38,MATCH($C42,'ORG-Metrics'!$A$1:$A$38,0),MATCH(V$1,'ORG-Metrics'!$1:$1,0)),"")</f>
        <v/>
      </c>
      <c r="W42" t="str">
        <f>IFERROR(INDEX('ORG-Metrics'!$A$1:$U$38,MATCH($C42,'ORG-Metrics'!$A$1:$A$38,0),MATCH(W$1,'ORG-Metrics'!$1:$1,0)),"")</f>
        <v/>
      </c>
    </row>
    <row r="43" spans="4:23" x14ac:dyDescent="0.3">
      <c r="D43" s="21" t="str">
        <f>IFERROR(INDEX('ORG-Metrics'!$A$1:$U$38,MATCH($C43,'ORG-Metrics'!$A$1:$A$38,0),MATCH(D$1,'ORG-Metrics'!$1:$1,0)),"")</f>
        <v/>
      </c>
      <c r="E43" s="21" t="str">
        <f>IFERROR(INDEX('ORG-Metrics'!$A$1:$U$38,MATCH($C43,'ORG-Metrics'!$A$1:$A$38,0),MATCH(E$1,'ORG-Metrics'!$1:$1,0)),"")</f>
        <v/>
      </c>
      <c r="F43" s="21" t="str">
        <f>IFERROR(INDEX('ORG-Metrics'!$A$1:$U$38,MATCH($C43,'ORG-Metrics'!$A$1:$A$38,0),MATCH(F$1,'ORG-Metrics'!$1:$1,0)),"")</f>
        <v/>
      </c>
      <c r="G43" s="21" t="str">
        <f>IFERROR(INDEX('ORG-Metrics'!$A$1:$U$38,MATCH($C43,'ORG-Metrics'!$A$1:$A$38,0),MATCH(G$1,'ORG-Metrics'!$1:$1,0)),"")</f>
        <v/>
      </c>
      <c r="H43" s="21" t="str">
        <f>IFERROR(INDEX('ORG-Metrics'!$A$1:$U$38,MATCH($C43,'ORG-Metrics'!$A$1:$A$38,0),MATCH(H$1,'ORG-Metrics'!$1:$1,0)),"")</f>
        <v/>
      </c>
      <c r="I43" s="21" t="str">
        <f>IFERROR(INDEX('ORG-Metrics'!$A$1:$U$38,MATCH($C43,'ORG-Metrics'!$A$1:$A$38,0),MATCH(I$1,'ORG-Metrics'!$1:$1,0)),"")</f>
        <v/>
      </c>
      <c r="J43" s="21" t="str">
        <f>IFERROR(INDEX('ORG-Metrics'!$A$1:$U$38,MATCH($C43,'ORG-Metrics'!$A$1:$A$38,0),MATCH(J$1,'ORG-Metrics'!$1:$1,0)),"")</f>
        <v/>
      </c>
      <c r="K43" s="21" t="str">
        <f>IFERROR(INDEX('ORG-Metrics'!$A$1:$U$38,MATCH($C43,'ORG-Metrics'!$A$1:$A$38,0),MATCH(K$1,'ORG-Metrics'!$1:$1,0)),"")</f>
        <v/>
      </c>
      <c r="L43" s="21" t="str">
        <f>IFERROR(INDEX('ORG-Metrics'!$A$1:$U$38,MATCH($C43,'ORG-Metrics'!$A$1:$A$38,0),MATCH(L$1,'ORG-Metrics'!$1:$1,0)),"")</f>
        <v/>
      </c>
      <c r="M43" s="21" t="str">
        <f>IFERROR(INDEX('ORG-Metrics'!$A$1:$U$38,MATCH($C43,'ORG-Metrics'!$A$1:$A$38,0),MATCH(M$1,'ORG-Metrics'!$1:$1,0)),"")</f>
        <v/>
      </c>
      <c r="N43" s="21" t="str">
        <f>IFERROR(INDEX('ORG-Metrics'!$A$1:$U$38,MATCH($C43,'ORG-Metrics'!$A$1:$A$38,0),MATCH(N$1,'ORG-Metrics'!$1:$1,0)),"")</f>
        <v/>
      </c>
      <c r="O43" s="21" t="str">
        <f>IFERROR(INDEX('ORG-Metrics'!$A$1:$U$38,MATCH($C43,'ORG-Metrics'!$A$1:$A$38,0),MATCH(O$1,'ORG-Metrics'!$1:$1,0)),"")</f>
        <v/>
      </c>
      <c r="P43" s="21" t="str">
        <f>IFERROR(INDEX('ORG-Metrics'!$A$1:$U$38,MATCH($C43,'ORG-Metrics'!$A$1:$A$38,0),MATCH(P$1,'ORG-Metrics'!$1:$1,0)),"")</f>
        <v/>
      </c>
      <c r="Q43" s="21" t="str">
        <f>IFERROR(INDEX('ORG-Metrics'!$A$1:$U$38,MATCH($C43,'ORG-Metrics'!$A$1:$A$38,0),MATCH(Q$1,'ORG-Metrics'!$1:$1,0)),"")</f>
        <v/>
      </c>
      <c r="R43" s="21" t="str">
        <f>IFERROR(INDEX('ORG-Metrics'!$A$1:$U$38,MATCH($C43,'ORG-Metrics'!$A$1:$A$38,0),MATCH(R$1,'ORG-Metrics'!$1:$1,0)),"")</f>
        <v/>
      </c>
      <c r="S43" s="21" t="str">
        <f>IFERROR(INDEX('ORG-Metrics'!$A$1:$U$38,MATCH($C43,'ORG-Metrics'!$A$1:$A$38,0),MATCH(S$1,'ORG-Metrics'!$1:$1,0)),"")</f>
        <v/>
      </c>
      <c r="T43" s="21" t="str">
        <f>IFERROR(INDEX('ORG-Metrics'!$A$1:$U$38,MATCH($C43,'ORG-Metrics'!$A$1:$A$38,0),MATCH(T$1,'ORG-Metrics'!$1:$1,0)),"")</f>
        <v/>
      </c>
      <c r="U43" s="21" t="str">
        <f>IFERROR(INDEX('ORG-Metrics'!$A$1:$U$38,MATCH($C43,'ORG-Metrics'!$A$1:$A$38,0),MATCH(U$1,'ORG-Metrics'!$1:$1,0)),"")</f>
        <v/>
      </c>
      <c r="V43" t="str">
        <f>IFERROR(INDEX('ORG-Metrics'!$A$1:$U$38,MATCH($C43,'ORG-Metrics'!$A$1:$A$38,0),MATCH(V$1,'ORG-Metrics'!$1:$1,0)),"")</f>
        <v/>
      </c>
      <c r="W43" t="str">
        <f>IFERROR(INDEX('ORG-Metrics'!$A$1:$U$38,MATCH($C43,'ORG-Metrics'!$A$1:$A$38,0),MATCH(W$1,'ORG-Metrics'!$1:$1,0)),"")</f>
        <v/>
      </c>
    </row>
    <row r="44" spans="4:23" x14ac:dyDescent="0.3">
      <c r="D44" s="21" t="str">
        <f>IFERROR(INDEX('ORG-Metrics'!$A$1:$U$38,MATCH($C44,'ORG-Metrics'!$A$1:$A$38,0),MATCH(D$1,'ORG-Metrics'!$1:$1,0)),"")</f>
        <v/>
      </c>
      <c r="E44" s="21" t="str">
        <f>IFERROR(INDEX('ORG-Metrics'!$A$1:$U$38,MATCH($C44,'ORG-Metrics'!$A$1:$A$38,0),MATCH(E$1,'ORG-Metrics'!$1:$1,0)),"")</f>
        <v/>
      </c>
      <c r="F44" s="21" t="str">
        <f>IFERROR(INDEX('ORG-Metrics'!$A$1:$U$38,MATCH($C44,'ORG-Metrics'!$A$1:$A$38,0),MATCH(F$1,'ORG-Metrics'!$1:$1,0)),"")</f>
        <v/>
      </c>
      <c r="G44" s="21" t="str">
        <f>IFERROR(INDEX('ORG-Metrics'!$A$1:$U$38,MATCH($C44,'ORG-Metrics'!$A$1:$A$38,0),MATCH(G$1,'ORG-Metrics'!$1:$1,0)),"")</f>
        <v/>
      </c>
      <c r="H44" s="21" t="str">
        <f>IFERROR(INDEX('ORG-Metrics'!$A$1:$U$38,MATCH($C44,'ORG-Metrics'!$A$1:$A$38,0),MATCH(H$1,'ORG-Metrics'!$1:$1,0)),"")</f>
        <v/>
      </c>
      <c r="I44" s="21" t="str">
        <f>IFERROR(INDEX('ORG-Metrics'!$A$1:$U$38,MATCH($C44,'ORG-Metrics'!$A$1:$A$38,0),MATCH(I$1,'ORG-Metrics'!$1:$1,0)),"")</f>
        <v/>
      </c>
      <c r="J44" s="21" t="str">
        <f>IFERROR(INDEX('ORG-Metrics'!$A$1:$U$38,MATCH($C44,'ORG-Metrics'!$A$1:$A$38,0),MATCH(J$1,'ORG-Metrics'!$1:$1,0)),"")</f>
        <v/>
      </c>
      <c r="K44" s="21" t="str">
        <f>IFERROR(INDEX('ORG-Metrics'!$A$1:$U$38,MATCH($C44,'ORG-Metrics'!$A$1:$A$38,0),MATCH(K$1,'ORG-Metrics'!$1:$1,0)),"")</f>
        <v/>
      </c>
      <c r="L44" s="21" t="str">
        <f>IFERROR(INDEX('ORG-Metrics'!$A$1:$U$38,MATCH($C44,'ORG-Metrics'!$A$1:$A$38,0),MATCH(L$1,'ORG-Metrics'!$1:$1,0)),"")</f>
        <v/>
      </c>
      <c r="M44" s="21" t="str">
        <f>IFERROR(INDEX('ORG-Metrics'!$A$1:$U$38,MATCH($C44,'ORG-Metrics'!$A$1:$A$38,0),MATCH(M$1,'ORG-Metrics'!$1:$1,0)),"")</f>
        <v/>
      </c>
      <c r="N44" s="21" t="str">
        <f>IFERROR(INDEX('ORG-Metrics'!$A$1:$U$38,MATCH($C44,'ORG-Metrics'!$A$1:$A$38,0),MATCH(N$1,'ORG-Metrics'!$1:$1,0)),"")</f>
        <v/>
      </c>
      <c r="O44" s="21" t="str">
        <f>IFERROR(INDEX('ORG-Metrics'!$A$1:$U$38,MATCH($C44,'ORG-Metrics'!$A$1:$A$38,0),MATCH(O$1,'ORG-Metrics'!$1:$1,0)),"")</f>
        <v/>
      </c>
      <c r="P44" s="21" t="str">
        <f>IFERROR(INDEX('ORG-Metrics'!$A$1:$U$38,MATCH($C44,'ORG-Metrics'!$A$1:$A$38,0),MATCH(P$1,'ORG-Metrics'!$1:$1,0)),"")</f>
        <v/>
      </c>
      <c r="Q44" s="21" t="str">
        <f>IFERROR(INDEX('ORG-Metrics'!$A$1:$U$38,MATCH($C44,'ORG-Metrics'!$A$1:$A$38,0),MATCH(Q$1,'ORG-Metrics'!$1:$1,0)),"")</f>
        <v/>
      </c>
      <c r="R44" s="21" t="str">
        <f>IFERROR(INDEX('ORG-Metrics'!$A$1:$U$38,MATCH($C44,'ORG-Metrics'!$A$1:$A$38,0),MATCH(R$1,'ORG-Metrics'!$1:$1,0)),"")</f>
        <v/>
      </c>
      <c r="S44" s="21" t="str">
        <f>IFERROR(INDEX('ORG-Metrics'!$A$1:$U$38,MATCH($C44,'ORG-Metrics'!$A$1:$A$38,0),MATCH(S$1,'ORG-Metrics'!$1:$1,0)),"")</f>
        <v/>
      </c>
      <c r="T44" s="21" t="str">
        <f>IFERROR(INDEX('ORG-Metrics'!$A$1:$U$38,MATCH($C44,'ORG-Metrics'!$A$1:$A$38,0),MATCH(T$1,'ORG-Metrics'!$1:$1,0)),"")</f>
        <v/>
      </c>
      <c r="U44" s="21" t="str">
        <f>IFERROR(INDEX('ORG-Metrics'!$A$1:$U$38,MATCH($C44,'ORG-Metrics'!$A$1:$A$38,0),MATCH(U$1,'ORG-Metrics'!$1:$1,0)),"")</f>
        <v/>
      </c>
      <c r="V44" t="str">
        <f>IFERROR(INDEX('ORG-Metrics'!$A$1:$U$38,MATCH($C44,'ORG-Metrics'!$A$1:$A$38,0),MATCH(V$1,'ORG-Metrics'!$1:$1,0)),"")</f>
        <v/>
      </c>
      <c r="W44" t="str">
        <f>IFERROR(INDEX('ORG-Metrics'!$A$1:$U$38,MATCH($C44,'ORG-Metrics'!$A$1:$A$38,0),MATCH(W$1,'ORG-Metrics'!$1:$1,0)),"")</f>
        <v/>
      </c>
    </row>
    <row r="45" spans="4:23" x14ac:dyDescent="0.3">
      <c r="D45" s="21" t="str">
        <f>IFERROR(INDEX('ORG-Metrics'!$A$1:$U$38,MATCH($C45,'ORG-Metrics'!$A$1:$A$38,0),MATCH(D$1,'ORG-Metrics'!$1:$1,0)),"")</f>
        <v/>
      </c>
      <c r="E45" s="21" t="str">
        <f>IFERROR(INDEX('ORG-Metrics'!$A$1:$U$38,MATCH($C45,'ORG-Metrics'!$A$1:$A$38,0),MATCH(E$1,'ORG-Metrics'!$1:$1,0)),"")</f>
        <v/>
      </c>
      <c r="F45" s="21" t="str">
        <f>IFERROR(INDEX('ORG-Metrics'!$A$1:$U$38,MATCH($C45,'ORG-Metrics'!$A$1:$A$38,0),MATCH(F$1,'ORG-Metrics'!$1:$1,0)),"")</f>
        <v/>
      </c>
      <c r="G45" s="21" t="str">
        <f>IFERROR(INDEX('ORG-Metrics'!$A$1:$U$38,MATCH($C45,'ORG-Metrics'!$A$1:$A$38,0),MATCH(G$1,'ORG-Metrics'!$1:$1,0)),"")</f>
        <v/>
      </c>
      <c r="H45" s="21" t="str">
        <f>IFERROR(INDEX('ORG-Metrics'!$A$1:$U$38,MATCH($C45,'ORG-Metrics'!$A$1:$A$38,0),MATCH(H$1,'ORG-Metrics'!$1:$1,0)),"")</f>
        <v/>
      </c>
      <c r="I45" s="21" t="str">
        <f>IFERROR(INDEX('ORG-Metrics'!$A$1:$U$38,MATCH($C45,'ORG-Metrics'!$A$1:$A$38,0),MATCH(I$1,'ORG-Metrics'!$1:$1,0)),"")</f>
        <v/>
      </c>
      <c r="J45" s="21" t="str">
        <f>IFERROR(INDEX('ORG-Metrics'!$A$1:$U$38,MATCH($C45,'ORG-Metrics'!$A$1:$A$38,0),MATCH(J$1,'ORG-Metrics'!$1:$1,0)),"")</f>
        <v/>
      </c>
      <c r="K45" s="21" t="str">
        <f>IFERROR(INDEX('ORG-Metrics'!$A$1:$U$38,MATCH($C45,'ORG-Metrics'!$A$1:$A$38,0),MATCH(K$1,'ORG-Metrics'!$1:$1,0)),"")</f>
        <v/>
      </c>
      <c r="L45" s="21" t="str">
        <f>IFERROR(INDEX('ORG-Metrics'!$A$1:$U$38,MATCH($C45,'ORG-Metrics'!$A$1:$A$38,0),MATCH(L$1,'ORG-Metrics'!$1:$1,0)),"")</f>
        <v/>
      </c>
      <c r="M45" s="21" t="str">
        <f>IFERROR(INDEX('ORG-Metrics'!$A$1:$U$38,MATCH($C45,'ORG-Metrics'!$A$1:$A$38,0),MATCH(M$1,'ORG-Metrics'!$1:$1,0)),"")</f>
        <v/>
      </c>
      <c r="N45" s="21" t="str">
        <f>IFERROR(INDEX('ORG-Metrics'!$A$1:$U$38,MATCH($C45,'ORG-Metrics'!$A$1:$A$38,0),MATCH(N$1,'ORG-Metrics'!$1:$1,0)),"")</f>
        <v/>
      </c>
      <c r="O45" s="21" t="str">
        <f>IFERROR(INDEX('ORG-Metrics'!$A$1:$U$38,MATCH($C45,'ORG-Metrics'!$A$1:$A$38,0),MATCH(O$1,'ORG-Metrics'!$1:$1,0)),"")</f>
        <v/>
      </c>
      <c r="P45" s="21" t="str">
        <f>IFERROR(INDEX('ORG-Metrics'!$A$1:$U$38,MATCH($C45,'ORG-Metrics'!$A$1:$A$38,0),MATCH(P$1,'ORG-Metrics'!$1:$1,0)),"")</f>
        <v/>
      </c>
      <c r="Q45" s="21" t="str">
        <f>IFERROR(INDEX('ORG-Metrics'!$A$1:$U$38,MATCH($C45,'ORG-Metrics'!$A$1:$A$38,0),MATCH(Q$1,'ORG-Metrics'!$1:$1,0)),"")</f>
        <v/>
      </c>
      <c r="R45" s="21" t="str">
        <f>IFERROR(INDEX('ORG-Metrics'!$A$1:$U$38,MATCH($C45,'ORG-Metrics'!$A$1:$A$38,0),MATCH(R$1,'ORG-Metrics'!$1:$1,0)),"")</f>
        <v/>
      </c>
      <c r="S45" s="21" t="str">
        <f>IFERROR(INDEX('ORG-Metrics'!$A$1:$U$38,MATCH($C45,'ORG-Metrics'!$A$1:$A$38,0),MATCH(S$1,'ORG-Metrics'!$1:$1,0)),"")</f>
        <v/>
      </c>
      <c r="T45" s="21" t="str">
        <f>IFERROR(INDEX('ORG-Metrics'!$A$1:$U$38,MATCH($C45,'ORG-Metrics'!$A$1:$A$38,0),MATCH(T$1,'ORG-Metrics'!$1:$1,0)),"")</f>
        <v/>
      </c>
      <c r="U45" s="21" t="str">
        <f>IFERROR(INDEX('ORG-Metrics'!$A$1:$U$38,MATCH($C45,'ORG-Metrics'!$A$1:$A$38,0),MATCH(U$1,'ORG-Metrics'!$1:$1,0)),"")</f>
        <v/>
      </c>
      <c r="V45" t="str">
        <f>IFERROR(INDEX('ORG-Metrics'!$A$1:$U$38,MATCH($C45,'ORG-Metrics'!$A$1:$A$38,0),MATCH(V$1,'ORG-Metrics'!$1:$1,0)),"")</f>
        <v/>
      </c>
      <c r="W45" t="str">
        <f>IFERROR(INDEX('ORG-Metrics'!$A$1:$U$38,MATCH($C45,'ORG-Metrics'!$A$1:$A$38,0),MATCH(W$1,'ORG-Metrics'!$1:$1,0)),"")</f>
        <v/>
      </c>
    </row>
    <row r="46" spans="4:23" x14ac:dyDescent="0.3">
      <c r="D46" s="21" t="str">
        <f>IFERROR(INDEX('ORG-Metrics'!$A$1:$U$38,MATCH($C46,'ORG-Metrics'!$A$1:$A$38,0),MATCH(D$1,'ORG-Metrics'!$1:$1,0)),"")</f>
        <v/>
      </c>
      <c r="E46" s="21" t="str">
        <f>IFERROR(INDEX('ORG-Metrics'!$A$1:$U$38,MATCH($C46,'ORG-Metrics'!$A$1:$A$38,0),MATCH(E$1,'ORG-Metrics'!$1:$1,0)),"")</f>
        <v/>
      </c>
      <c r="F46" s="21" t="str">
        <f>IFERROR(INDEX('ORG-Metrics'!$A$1:$U$38,MATCH($C46,'ORG-Metrics'!$A$1:$A$38,0),MATCH(F$1,'ORG-Metrics'!$1:$1,0)),"")</f>
        <v/>
      </c>
      <c r="G46" s="21" t="str">
        <f>IFERROR(INDEX('ORG-Metrics'!$A$1:$U$38,MATCH($C46,'ORG-Metrics'!$A$1:$A$38,0),MATCH(G$1,'ORG-Metrics'!$1:$1,0)),"")</f>
        <v/>
      </c>
      <c r="H46" s="21" t="str">
        <f>IFERROR(INDEX('ORG-Metrics'!$A$1:$U$38,MATCH($C46,'ORG-Metrics'!$A$1:$A$38,0),MATCH(H$1,'ORG-Metrics'!$1:$1,0)),"")</f>
        <v/>
      </c>
      <c r="I46" s="21" t="str">
        <f>IFERROR(INDEX('ORG-Metrics'!$A$1:$U$38,MATCH($C46,'ORG-Metrics'!$A$1:$A$38,0),MATCH(I$1,'ORG-Metrics'!$1:$1,0)),"")</f>
        <v/>
      </c>
      <c r="J46" s="21" t="str">
        <f>IFERROR(INDEX('ORG-Metrics'!$A$1:$U$38,MATCH($C46,'ORG-Metrics'!$A$1:$A$38,0),MATCH(J$1,'ORG-Metrics'!$1:$1,0)),"")</f>
        <v/>
      </c>
      <c r="K46" s="21" t="str">
        <f>IFERROR(INDEX('ORG-Metrics'!$A$1:$U$38,MATCH($C46,'ORG-Metrics'!$A$1:$A$38,0),MATCH(K$1,'ORG-Metrics'!$1:$1,0)),"")</f>
        <v/>
      </c>
      <c r="L46" s="21" t="str">
        <f>IFERROR(INDEX('ORG-Metrics'!$A$1:$U$38,MATCH($C46,'ORG-Metrics'!$A$1:$A$38,0),MATCH(L$1,'ORG-Metrics'!$1:$1,0)),"")</f>
        <v/>
      </c>
      <c r="M46" s="21" t="str">
        <f>IFERROR(INDEX('ORG-Metrics'!$A$1:$U$38,MATCH($C46,'ORG-Metrics'!$A$1:$A$38,0),MATCH(M$1,'ORG-Metrics'!$1:$1,0)),"")</f>
        <v/>
      </c>
      <c r="N46" s="21" t="str">
        <f>IFERROR(INDEX('ORG-Metrics'!$A$1:$U$38,MATCH($C46,'ORG-Metrics'!$A$1:$A$38,0),MATCH(N$1,'ORG-Metrics'!$1:$1,0)),"")</f>
        <v/>
      </c>
      <c r="O46" s="21" t="str">
        <f>IFERROR(INDEX('ORG-Metrics'!$A$1:$U$38,MATCH($C46,'ORG-Metrics'!$A$1:$A$38,0),MATCH(O$1,'ORG-Metrics'!$1:$1,0)),"")</f>
        <v/>
      </c>
      <c r="P46" s="21" t="str">
        <f>IFERROR(INDEX('ORG-Metrics'!$A$1:$U$38,MATCH($C46,'ORG-Metrics'!$A$1:$A$38,0),MATCH(P$1,'ORG-Metrics'!$1:$1,0)),"")</f>
        <v/>
      </c>
      <c r="Q46" s="21" t="str">
        <f>IFERROR(INDEX('ORG-Metrics'!$A$1:$U$38,MATCH($C46,'ORG-Metrics'!$A$1:$A$38,0),MATCH(Q$1,'ORG-Metrics'!$1:$1,0)),"")</f>
        <v/>
      </c>
      <c r="R46" s="21" t="str">
        <f>IFERROR(INDEX('ORG-Metrics'!$A$1:$U$38,MATCH($C46,'ORG-Metrics'!$A$1:$A$38,0),MATCH(R$1,'ORG-Metrics'!$1:$1,0)),"")</f>
        <v/>
      </c>
      <c r="S46" s="21" t="str">
        <f>IFERROR(INDEX('ORG-Metrics'!$A$1:$U$38,MATCH($C46,'ORG-Metrics'!$A$1:$A$38,0),MATCH(S$1,'ORG-Metrics'!$1:$1,0)),"")</f>
        <v/>
      </c>
      <c r="T46" s="21" t="str">
        <f>IFERROR(INDEX('ORG-Metrics'!$A$1:$U$38,MATCH($C46,'ORG-Metrics'!$A$1:$A$38,0),MATCH(T$1,'ORG-Metrics'!$1:$1,0)),"")</f>
        <v/>
      </c>
      <c r="U46" s="21" t="str">
        <f>IFERROR(INDEX('ORG-Metrics'!$A$1:$U$38,MATCH($C46,'ORG-Metrics'!$A$1:$A$38,0),MATCH(U$1,'ORG-Metrics'!$1:$1,0)),"")</f>
        <v/>
      </c>
      <c r="V46" t="str">
        <f>IFERROR(INDEX('ORG-Metrics'!$A$1:$U$38,MATCH($C46,'ORG-Metrics'!$A$1:$A$38,0),MATCH(V$1,'ORG-Metrics'!$1:$1,0)),"")</f>
        <v/>
      </c>
      <c r="W46" t="str">
        <f>IFERROR(INDEX('ORG-Metrics'!$A$1:$U$38,MATCH($C46,'ORG-Metrics'!$A$1:$A$38,0),MATCH(W$1,'ORG-Metrics'!$1:$1,0)),"")</f>
        <v/>
      </c>
    </row>
    <row r="47" spans="4:23" x14ac:dyDescent="0.3">
      <c r="D47" s="21" t="str">
        <f>IFERROR(INDEX('ORG-Metrics'!$A$1:$U$38,MATCH($C47,'ORG-Metrics'!$A$1:$A$38,0),MATCH(D$1,'ORG-Metrics'!$1:$1,0)),"")</f>
        <v/>
      </c>
      <c r="E47" s="21" t="str">
        <f>IFERROR(INDEX('ORG-Metrics'!$A$1:$U$38,MATCH($C47,'ORG-Metrics'!$A$1:$A$38,0),MATCH(E$1,'ORG-Metrics'!$1:$1,0)),"")</f>
        <v/>
      </c>
      <c r="F47" s="21" t="str">
        <f>IFERROR(INDEX('ORG-Metrics'!$A$1:$U$38,MATCH($C47,'ORG-Metrics'!$A$1:$A$38,0),MATCH(F$1,'ORG-Metrics'!$1:$1,0)),"")</f>
        <v/>
      </c>
      <c r="G47" s="21" t="str">
        <f>IFERROR(INDEX('ORG-Metrics'!$A$1:$U$38,MATCH($C47,'ORG-Metrics'!$A$1:$A$38,0),MATCH(G$1,'ORG-Metrics'!$1:$1,0)),"")</f>
        <v/>
      </c>
      <c r="H47" s="21" t="str">
        <f>IFERROR(INDEX('ORG-Metrics'!$A$1:$U$38,MATCH($C47,'ORG-Metrics'!$A$1:$A$38,0),MATCH(H$1,'ORG-Metrics'!$1:$1,0)),"")</f>
        <v/>
      </c>
      <c r="I47" s="21" t="str">
        <f>IFERROR(INDEX('ORG-Metrics'!$A$1:$U$38,MATCH($C47,'ORG-Metrics'!$A$1:$A$38,0),MATCH(I$1,'ORG-Metrics'!$1:$1,0)),"")</f>
        <v/>
      </c>
      <c r="J47" s="21" t="str">
        <f>IFERROR(INDEX('ORG-Metrics'!$A$1:$U$38,MATCH($C47,'ORG-Metrics'!$A$1:$A$38,0),MATCH(J$1,'ORG-Metrics'!$1:$1,0)),"")</f>
        <v/>
      </c>
      <c r="K47" s="21" t="str">
        <f>IFERROR(INDEX('ORG-Metrics'!$A$1:$U$38,MATCH($C47,'ORG-Metrics'!$A$1:$A$38,0),MATCH(K$1,'ORG-Metrics'!$1:$1,0)),"")</f>
        <v/>
      </c>
      <c r="L47" s="21" t="str">
        <f>IFERROR(INDEX('ORG-Metrics'!$A$1:$U$38,MATCH($C47,'ORG-Metrics'!$A$1:$A$38,0),MATCH(L$1,'ORG-Metrics'!$1:$1,0)),"")</f>
        <v/>
      </c>
      <c r="M47" s="21" t="str">
        <f>IFERROR(INDEX('ORG-Metrics'!$A$1:$U$38,MATCH($C47,'ORG-Metrics'!$A$1:$A$38,0),MATCH(M$1,'ORG-Metrics'!$1:$1,0)),"")</f>
        <v/>
      </c>
      <c r="N47" s="21" t="str">
        <f>IFERROR(INDEX('ORG-Metrics'!$A$1:$U$38,MATCH($C47,'ORG-Metrics'!$A$1:$A$38,0),MATCH(N$1,'ORG-Metrics'!$1:$1,0)),"")</f>
        <v/>
      </c>
      <c r="O47" s="21" t="str">
        <f>IFERROR(INDEX('ORG-Metrics'!$A$1:$U$38,MATCH($C47,'ORG-Metrics'!$A$1:$A$38,0),MATCH(O$1,'ORG-Metrics'!$1:$1,0)),"")</f>
        <v/>
      </c>
      <c r="P47" s="21" t="str">
        <f>IFERROR(INDEX('ORG-Metrics'!$A$1:$U$38,MATCH($C47,'ORG-Metrics'!$A$1:$A$38,0),MATCH(P$1,'ORG-Metrics'!$1:$1,0)),"")</f>
        <v/>
      </c>
      <c r="Q47" s="21" t="str">
        <f>IFERROR(INDEX('ORG-Metrics'!$A$1:$U$38,MATCH($C47,'ORG-Metrics'!$A$1:$A$38,0),MATCH(Q$1,'ORG-Metrics'!$1:$1,0)),"")</f>
        <v/>
      </c>
      <c r="R47" s="21" t="str">
        <f>IFERROR(INDEX('ORG-Metrics'!$A$1:$U$38,MATCH($C47,'ORG-Metrics'!$A$1:$A$38,0),MATCH(R$1,'ORG-Metrics'!$1:$1,0)),"")</f>
        <v/>
      </c>
      <c r="S47" s="21" t="str">
        <f>IFERROR(INDEX('ORG-Metrics'!$A$1:$U$38,MATCH($C47,'ORG-Metrics'!$A$1:$A$38,0),MATCH(S$1,'ORG-Metrics'!$1:$1,0)),"")</f>
        <v/>
      </c>
      <c r="T47" s="21" t="str">
        <f>IFERROR(INDEX('ORG-Metrics'!$A$1:$U$38,MATCH($C47,'ORG-Metrics'!$A$1:$A$38,0),MATCH(T$1,'ORG-Metrics'!$1:$1,0)),"")</f>
        <v/>
      </c>
      <c r="U47" s="21" t="str">
        <f>IFERROR(INDEX('ORG-Metrics'!$A$1:$U$38,MATCH($C47,'ORG-Metrics'!$A$1:$A$38,0),MATCH(U$1,'ORG-Metrics'!$1:$1,0)),"")</f>
        <v/>
      </c>
      <c r="V47" t="str">
        <f>IFERROR(INDEX('ORG-Metrics'!$A$1:$U$38,MATCH($C47,'ORG-Metrics'!$A$1:$A$38,0),MATCH(V$1,'ORG-Metrics'!$1:$1,0)),"")</f>
        <v/>
      </c>
      <c r="W47" t="str">
        <f>IFERROR(INDEX('ORG-Metrics'!$A$1:$U$38,MATCH($C47,'ORG-Metrics'!$A$1:$A$38,0),MATCH(W$1,'ORG-Metrics'!$1:$1,0)),"")</f>
        <v/>
      </c>
    </row>
    <row r="48" spans="4:23" x14ac:dyDescent="0.3">
      <c r="D48" s="21" t="str">
        <f>IFERROR(INDEX('ORG-Metrics'!$A$1:$U$38,MATCH($C48,'ORG-Metrics'!$A$1:$A$38,0),MATCH(D$1,'ORG-Metrics'!$1:$1,0)),"")</f>
        <v/>
      </c>
      <c r="E48" s="21" t="str">
        <f>IFERROR(INDEX('ORG-Metrics'!$A$1:$U$38,MATCH($C48,'ORG-Metrics'!$A$1:$A$38,0),MATCH(E$1,'ORG-Metrics'!$1:$1,0)),"")</f>
        <v/>
      </c>
      <c r="F48" s="21" t="str">
        <f>IFERROR(INDEX('ORG-Metrics'!$A$1:$U$38,MATCH($C48,'ORG-Metrics'!$A$1:$A$38,0),MATCH(F$1,'ORG-Metrics'!$1:$1,0)),"")</f>
        <v/>
      </c>
      <c r="G48" s="21" t="str">
        <f>IFERROR(INDEX('ORG-Metrics'!$A$1:$U$38,MATCH($C48,'ORG-Metrics'!$A$1:$A$38,0),MATCH(G$1,'ORG-Metrics'!$1:$1,0)),"")</f>
        <v/>
      </c>
      <c r="H48" s="21" t="str">
        <f>IFERROR(INDEX('ORG-Metrics'!$A$1:$U$38,MATCH($C48,'ORG-Metrics'!$A$1:$A$38,0),MATCH(H$1,'ORG-Metrics'!$1:$1,0)),"")</f>
        <v/>
      </c>
      <c r="I48" s="21" t="str">
        <f>IFERROR(INDEX('ORG-Metrics'!$A$1:$U$38,MATCH($C48,'ORG-Metrics'!$A$1:$A$38,0),MATCH(I$1,'ORG-Metrics'!$1:$1,0)),"")</f>
        <v/>
      </c>
      <c r="J48" s="21" t="str">
        <f>IFERROR(INDEX('ORG-Metrics'!$A$1:$U$38,MATCH($C48,'ORG-Metrics'!$A$1:$A$38,0),MATCH(J$1,'ORG-Metrics'!$1:$1,0)),"")</f>
        <v/>
      </c>
      <c r="K48" s="21" t="str">
        <f>IFERROR(INDEX('ORG-Metrics'!$A$1:$U$38,MATCH($C48,'ORG-Metrics'!$A$1:$A$38,0),MATCH(K$1,'ORG-Metrics'!$1:$1,0)),"")</f>
        <v/>
      </c>
      <c r="L48" s="21" t="str">
        <f>IFERROR(INDEX('ORG-Metrics'!$A$1:$U$38,MATCH($C48,'ORG-Metrics'!$A$1:$A$38,0),MATCH(L$1,'ORG-Metrics'!$1:$1,0)),"")</f>
        <v/>
      </c>
      <c r="M48" s="21" t="str">
        <f>IFERROR(INDEX('ORG-Metrics'!$A$1:$U$38,MATCH($C48,'ORG-Metrics'!$A$1:$A$38,0),MATCH(M$1,'ORG-Metrics'!$1:$1,0)),"")</f>
        <v/>
      </c>
      <c r="N48" s="21" t="str">
        <f>IFERROR(INDEX('ORG-Metrics'!$A$1:$U$38,MATCH($C48,'ORG-Metrics'!$A$1:$A$38,0),MATCH(N$1,'ORG-Metrics'!$1:$1,0)),"")</f>
        <v/>
      </c>
      <c r="O48" s="21" t="str">
        <f>IFERROR(INDEX('ORG-Metrics'!$A$1:$U$38,MATCH($C48,'ORG-Metrics'!$A$1:$A$38,0),MATCH(O$1,'ORG-Metrics'!$1:$1,0)),"")</f>
        <v/>
      </c>
      <c r="P48" s="21" t="str">
        <f>IFERROR(INDEX('ORG-Metrics'!$A$1:$U$38,MATCH($C48,'ORG-Metrics'!$A$1:$A$38,0),MATCH(P$1,'ORG-Metrics'!$1:$1,0)),"")</f>
        <v/>
      </c>
      <c r="Q48" s="21" t="str">
        <f>IFERROR(INDEX('ORG-Metrics'!$A$1:$U$38,MATCH($C48,'ORG-Metrics'!$A$1:$A$38,0),MATCH(Q$1,'ORG-Metrics'!$1:$1,0)),"")</f>
        <v/>
      </c>
      <c r="R48" s="21" t="str">
        <f>IFERROR(INDEX('ORG-Metrics'!$A$1:$U$38,MATCH($C48,'ORG-Metrics'!$A$1:$A$38,0),MATCH(R$1,'ORG-Metrics'!$1:$1,0)),"")</f>
        <v/>
      </c>
      <c r="S48" s="21" t="str">
        <f>IFERROR(INDEX('ORG-Metrics'!$A$1:$U$38,MATCH($C48,'ORG-Metrics'!$A$1:$A$38,0),MATCH(S$1,'ORG-Metrics'!$1:$1,0)),"")</f>
        <v/>
      </c>
      <c r="T48" s="21" t="str">
        <f>IFERROR(INDEX('ORG-Metrics'!$A$1:$U$38,MATCH($C48,'ORG-Metrics'!$A$1:$A$38,0),MATCH(T$1,'ORG-Metrics'!$1:$1,0)),"")</f>
        <v/>
      </c>
      <c r="U48" s="21" t="str">
        <f>IFERROR(INDEX('ORG-Metrics'!$A$1:$U$38,MATCH($C48,'ORG-Metrics'!$A$1:$A$38,0),MATCH(U$1,'ORG-Metrics'!$1:$1,0)),"")</f>
        <v/>
      </c>
      <c r="V48" t="str">
        <f>IFERROR(INDEX('ORG-Metrics'!$A$1:$U$38,MATCH($C48,'ORG-Metrics'!$A$1:$A$38,0),MATCH(V$1,'ORG-Metrics'!$1:$1,0)),"")</f>
        <v/>
      </c>
      <c r="W48" t="str">
        <f>IFERROR(INDEX('ORG-Metrics'!$A$1:$U$38,MATCH($C48,'ORG-Metrics'!$A$1:$A$38,0),MATCH(W$1,'ORG-Metrics'!$1:$1,0)),"")</f>
        <v/>
      </c>
    </row>
    <row r="49" spans="4:23" x14ac:dyDescent="0.3">
      <c r="D49" s="21" t="str">
        <f>IFERROR(INDEX('ORG-Metrics'!$A$1:$U$38,MATCH($C49,'ORG-Metrics'!$A$1:$A$38,0),MATCH(D$1,'ORG-Metrics'!$1:$1,0)),"")</f>
        <v/>
      </c>
      <c r="E49" s="21" t="str">
        <f>IFERROR(INDEX('ORG-Metrics'!$A$1:$U$38,MATCH($C49,'ORG-Metrics'!$A$1:$A$38,0),MATCH(E$1,'ORG-Metrics'!$1:$1,0)),"")</f>
        <v/>
      </c>
      <c r="F49" s="21" t="str">
        <f>IFERROR(INDEX('ORG-Metrics'!$A$1:$U$38,MATCH($C49,'ORG-Metrics'!$A$1:$A$38,0),MATCH(F$1,'ORG-Metrics'!$1:$1,0)),"")</f>
        <v/>
      </c>
      <c r="G49" s="21" t="str">
        <f>IFERROR(INDEX('ORG-Metrics'!$A$1:$U$38,MATCH($C49,'ORG-Metrics'!$A$1:$A$38,0),MATCH(G$1,'ORG-Metrics'!$1:$1,0)),"")</f>
        <v/>
      </c>
      <c r="H49" s="21" t="str">
        <f>IFERROR(INDEX('ORG-Metrics'!$A$1:$U$38,MATCH($C49,'ORG-Metrics'!$A$1:$A$38,0),MATCH(H$1,'ORG-Metrics'!$1:$1,0)),"")</f>
        <v/>
      </c>
      <c r="I49" s="21" t="str">
        <f>IFERROR(INDEX('ORG-Metrics'!$A$1:$U$38,MATCH($C49,'ORG-Metrics'!$A$1:$A$38,0),MATCH(I$1,'ORG-Metrics'!$1:$1,0)),"")</f>
        <v/>
      </c>
      <c r="J49" s="21" t="str">
        <f>IFERROR(INDEX('ORG-Metrics'!$A$1:$U$38,MATCH($C49,'ORG-Metrics'!$A$1:$A$38,0),MATCH(J$1,'ORG-Metrics'!$1:$1,0)),"")</f>
        <v/>
      </c>
      <c r="K49" s="21" t="str">
        <f>IFERROR(INDEX('ORG-Metrics'!$A$1:$U$38,MATCH($C49,'ORG-Metrics'!$A$1:$A$38,0),MATCH(K$1,'ORG-Metrics'!$1:$1,0)),"")</f>
        <v/>
      </c>
      <c r="L49" s="21" t="str">
        <f>IFERROR(INDEX('ORG-Metrics'!$A$1:$U$38,MATCH($C49,'ORG-Metrics'!$A$1:$A$38,0),MATCH(L$1,'ORG-Metrics'!$1:$1,0)),"")</f>
        <v/>
      </c>
      <c r="M49" s="21" t="str">
        <f>IFERROR(INDEX('ORG-Metrics'!$A$1:$U$38,MATCH($C49,'ORG-Metrics'!$A$1:$A$38,0),MATCH(M$1,'ORG-Metrics'!$1:$1,0)),"")</f>
        <v/>
      </c>
      <c r="N49" s="21" t="str">
        <f>IFERROR(INDEX('ORG-Metrics'!$A$1:$U$38,MATCH($C49,'ORG-Metrics'!$A$1:$A$38,0),MATCH(N$1,'ORG-Metrics'!$1:$1,0)),"")</f>
        <v/>
      </c>
      <c r="O49" s="21" t="str">
        <f>IFERROR(INDEX('ORG-Metrics'!$A$1:$U$38,MATCH($C49,'ORG-Metrics'!$A$1:$A$38,0),MATCH(O$1,'ORG-Metrics'!$1:$1,0)),"")</f>
        <v/>
      </c>
      <c r="P49" s="21" t="str">
        <f>IFERROR(INDEX('ORG-Metrics'!$A$1:$U$38,MATCH($C49,'ORG-Metrics'!$A$1:$A$38,0),MATCH(P$1,'ORG-Metrics'!$1:$1,0)),"")</f>
        <v/>
      </c>
      <c r="Q49" s="21" t="str">
        <f>IFERROR(INDEX('ORG-Metrics'!$A$1:$U$38,MATCH($C49,'ORG-Metrics'!$A$1:$A$38,0),MATCH(Q$1,'ORG-Metrics'!$1:$1,0)),"")</f>
        <v/>
      </c>
      <c r="R49" s="21" t="str">
        <f>IFERROR(INDEX('ORG-Metrics'!$A$1:$U$38,MATCH($C49,'ORG-Metrics'!$A$1:$A$38,0),MATCH(R$1,'ORG-Metrics'!$1:$1,0)),"")</f>
        <v/>
      </c>
      <c r="S49" s="21" t="str">
        <f>IFERROR(INDEX('ORG-Metrics'!$A$1:$U$38,MATCH($C49,'ORG-Metrics'!$A$1:$A$38,0),MATCH(S$1,'ORG-Metrics'!$1:$1,0)),"")</f>
        <v/>
      </c>
      <c r="T49" s="21" t="str">
        <f>IFERROR(INDEX('ORG-Metrics'!$A$1:$U$38,MATCH($C49,'ORG-Metrics'!$A$1:$A$38,0),MATCH(T$1,'ORG-Metrics'!$1:$1,0)),"")</f>
        <v/>
      </c>
      <c r="U49" s="21" t="str">
        <f>IFERROR(INDEX('ORG-Metrics'!$A$1:$U$38,MATCH($C49,'ORG-Metrics'!$A$1:$A$38,0),MATCH(U$1,'ORG-Metrics'!$1:$1,0)),"")</f>
        <v/>
      </c>
      <c r="V49" t="str">
        <f>IFERROR(INDEX('ORG-Metrics'!$A$1:$U$38,MATCH($C49,'ORG-Metrics'!$A$1:$A$38,0),MATCH(V$1,'ORG-Metrics'!$1:$1,0)),"")</f>
        <v/>
      </c>
      <c r="W49" t="str">
        <f>IFERROR(INDEX('ORG-Metrics'!$A$1:$U$38,MATCH($C49,'ORG-Metrics'!$A$1:$A$38,0),MATCH(W$1,'ORG-Metrics'!$1:$1,0)),"")</f>
        <v/>
      </c>
    </row>
    <row r="50" spans="4:23" x14ac:dyDescent="0.3">
      <c r="D50" s="21" t="str">
        <f>IFERROR(INDEX('ORG-Metrics'!$A$1:$U$38,MATCH($C50,'ORG-Metrics'!$A$1:$A$38,0),MATCH(D$1,'ORG-Metrics'!$1:$1,0)),"")</f>
        <v/>
      </c>
      <c r="E50" s="21" t="str">
        <f>IFERROR(INDEX('ORG-Metrics'!$A$1:$U$38,MATCH($C50,'ORG-Metrics'!$A$1:$A$38,0),MATCH(E$1,'ORG-Metrics'!$1:$1,0)),"")</f>
        <v/>
      </c>
      <c r="F50" s="21" t="str">
        <f>IFERROR(INDEX('ORG-Metrics'!$A$1:$U$38,MATCH($C50,'ORG-Metrics'!$A$1:$A$38,0),MATCH(F$1,'ORG-Metrics'!$1:$1,0)),"")</f>
        <v/>
      </c>
      <c r="G50" s="21" t="str">
        <f>IFERROR(INDEX('ORG-Metrics'!$A$1:$U$38,MATCH($C50,'ORG-Metrics'!$A$1:$A$38,0),MATCH(G$1,'ORG-Metrics'!$1:$1,0)),"")</f>
        <v/>
      </c>
      <c r="H50" s="21" t="str">
        <f>IFERROR(INDEX('ORG-Metrics'!$A$1:$U$38,MATCH($C50,'ORG-Metrics'!$A$1:$A$38,0),MATCH(H$1,'ORG-Metrics'!$1:$1,0)),"")</f>
        <v/>
      </c>
      <c r="I50" s="21" t="str">
        <f>IFERROR(INDEX('ORG-Metrics'!$A$1:$U$38,MATCH($C50,'ORG-Metrics'!$A$1:$A$38,0),MATCH(I$1,'ORG-Metrics'!$1:$1,0)),"")</f>
        <v/>
      </c>
      <c r="J50" s="21" t="str">
        <f>IFERROR(INDEX('ORG-Metrics'!$A$1:$U$38,MATCH($C50,'ORG-Metrics'!$A$1:$A$38,0),MATCH(J$1,'ORG-Metrics'!$1:$1,0)),"")</f>
        <v/>
      </c>
      <c r="K50" s="21" t="str">
        <f>IFERROR(INDEX('ORG-Metrics'!$A$1:$U$38,MATCH($C50,'ORG-Metrics'!$A$1:$A$38,0),MATCH(K$1,'ORG-Metrics'!$1:$1,0)),"")</f>
        <v/>
      </c>
      <c r="L50" s="21" t="str">
        <f>IFERROR(INDEX('ORG-Metrics'!$A$1:$U$38,MATCH($C50,'ORG-Metrics'!$A$1:$A$38,0),MATCH(L$1,'ORG-Metrics'!$1:$1,0)),"")</f>
        <v/>
      </c>
      <c r="M50" s="21" t="str">
        <f>IFERROR(INDEX('ORG-Metrics'!$A$1:$U$38,MATCH($C50,'ORG-Metrics'!$A$1:$A$38,0),MATCH(M$1,'ORG-Metrics'!$1:$1,0)),"")</f>
        <v/>
      </c>
      <c r="N50" s="21" t="str">
        <f>IFERROR(INDEX('ORG-Metrics'!$A$1:$U$38,MATCH($C50,'ORG-Metrics'!$A$1:$A$38,0),MATCH(N$1,'ORG-Metrics'!$1:$1,0)),"")</f>
        <v/>
      </c>
      <c r="O50" s="21" t="str">
        <f>IFERROR(INDEX('ORG-Metrics'!$A$1:$U$38,MATCH($C50,'ORG-Metrics'!$A$1:$A$38,0),MATCH(O$1,'ORG-Metrics'!$1:$1,0)),"")</f>
        <v/>
      </c>
      <c r="P50" s="21" t="str">
        <f>IFERROR(INDEX('ORG-Metrics'!$A$1:$U$38,MATCH($C50,'ORG-Metrics'!$A$1:$A$38,0),MATCH(P$1,'ORG-Metrics'!$1:$1,0)),"")</f>
        <v/>
      </c>
      <c r="Q50" s="21" t="str">
        <f>IFERROR(INDEX('ORG-Metrics'!$A$1:$U$38,MATCH($C50,'ORG-Metrics'!$A$1:$A$38,0),MATCH(Q$1,'ORG-Metrics'!$1:$1,0)),"")</f>
        <v/>
      </c>
      <c r="R50" s="21" t="str">
        <f>IFERROR(INDEX('ORG-Metrics'!$A$1:$U$38,MATCH($C50,'ORG-Metrics'!$A$1:$A$38,0),MATCH(R$1,'ORG-Metrics'!$1:$1,0)),"")</f>
        <v/>
      </c>
      <c r="S50" s="21" t="str">
        <f>IFERROR(INDEX('ORG-Metrics'!$A$1:$U$38,MATCH($C50,'ORG-Metrics'!$A$1:$A$38,0),MATCH(S$1,'ORG-Metrics'!$1:$1,0)),"")</f>
        <v/>
      </c>
      <c r="T50" s="21" t="str">
        <f>IFERROR(INDEX('ORG-Metrics'!$A$1:$U$38,MATCH($C50,'ORG-Metrics'!$A$1:$A$38,0),MATCH(T$1,'ORG-Metrics'!$1:$1,0)),"")</f>
        <v/>
      </c>
      <c r="U50" s="21" t="str">
        <f>IFERROR(INDEX('ORG-Metrics'!$A$1:$U$38,MATCH($C50,'ORG-Metrics'!$A$1:$A$38,0),MATCH(U$1,'ORG-Metrics'!$1:$1,0)),"")</f>
        <v/>
      </c>
      <c r="V50" t="str">
        <f>IFERROR(INDEX('ORG-Metrics'!$A$1:$U$38,MATCH($C50,'ORG-Metrics'!$A$1:$A$38,0),MATCH(V$1,'ORG-Metrics'!$1:$1,0)),"")</f>
        <v/>
      </c>
      <c r="W50" t="str">
        <f>IFERROR(INDEX('ORG-Metrics'!$A$1:$U$38,MATCH($C50,'ORG-Metrics'!$A$1:$A$38,0),MATCH(W$1,'ORG-Metrics'!$1:$1,0)),"")</f>
        <v/>
      </c>
    </row>
    <row r="51" spans="4:23" x14ac:dyDescent="0.3">
      <c r="D51" s="21" t="str">
        <f>IFERROR(INDEX('ORG-Metrics'!$A$1:$U$38,MATCH($C51,'ORG-Metrics'!$A$1:$A$38,0),MATCH(D$1,'ORG-Metrics'!$1:$1,0)),"")</f>
        <v/>
      </c>
      <c r="E51" s="21" t="str">
        <f>IFERROR(INDEX('ORG-Metrics'!$A$1:$U$38,MATCH($C51,'ORG-Metrics'!$A$1:$A$38,0),MATCH(E$1,'ORG-Metrics'!$1:$1,0)),"")</f>
        <v/>
      </c>
      <c r="F51" s="21" t="str">
        <f>IFERROR(INDEX('ORG-Metrics'!$A$1:$U$38,MATCH($C51,'ORG-Metrics'!$A$1:$A$38,0),MATCH(F$1,'ORG-Metrics'!$1:$1,0)),"")</f>
        <v/>
      </c>
      <c r="G51" s="21" t="str">
        <f>IFERROR(INDEX('ORG-Metrics'!$A$1:$U$38,MATCH($C51,'ORG-Metrics'!$A$1:$A$38,0),MATCH(G$1,'ORG-Metrics'!$1:$1,0)),"")</f>
        <v/>
      </c>
      <c r="H51" s="21" t="str">
        <f>IFERROR(INDEX('ORG-Metrics'!$A$1:$U$38,MATCH($C51,'ORG-Metrics'!$A$1:$A$38,0),MATCH(H$1,'ORG-Metrics'!$1:$1,0)),"")</f>
        <v/>
      </c>
      <c r="I51" s="21" t="str">
        <f>IFERROR(INDEX('ORG-Metrics'!$A$1:$U$38,MATCH($C51,'ORG-Metrics'!$A$1:$A$38,0),MATCH(I$1,'ORG-Metrics'!$1:$1,0)),"")</f>
        <v/>
      </c>
      <c r="J51" s="21" t="str">
        <f>IFERROR(INDEX('ORG-Metrics'!$A$1:$U$38,MATCH($C51,'ORG-Metrics'!$A$1:$A$38,0),MATCH(J$1,'ORG-Metrics'!$1:$1,0)),"")</f>
        <v/>
      </c>
      <c r="K51" s="21" t="str">
        <f>IFERROR(INDEX('ORG-Metrics'!$A$1:$U$38,MATCH($C51,'ORG-Metrics'!$A$1:$A$38,0),MATCH(K$1,'ORG-Metrics'!$1:$1,0)),"")</f>
        <v/>
      </c>
      <c r="L51" s="21" t="str">
        <f>IFERROR(INDEX('ORG-Metrics'!$A$1:$U$38,MATCH($C51,'ORG-Metrics'!$A$1:$A$38,0),MATCH(L$1,'ORG-Metrics'!$1:$1,0)),"")</f>
        <v/>
      </c>
      <c r="M51" s="21" t="str">
        <f>IFERROR(INDEX('ORG-Metrics'!$A$1:$U$38,MATCH($C51,'ORG-Metrics'!$A$1:$A$38,0),MATCH(M$1,'ORG-Metrics'!$1:$1,0)),"")</f>
        <v/>
      </c>
      <c r="N51" s="21" t="str">
        <f>IFERROR(INDEX('ORG-Metrics'!$A$1:$U$38,MATCH($C51,'ORG-Metrics'!$A$1:$A$38,0),MATCH(N$1,'ORG-Metrics'!$1:$1,0)),"")</f>
        <v/>
      </c>
      <c r="O51" s="21" t="str">
        <f>IFERROR(INDEX('ORG-Metrics'!$A$1:$U$38,MATCH($C51,'ORG-Metrics'!$A$1:$A$38,0),MATCH(O$1,'ORG-Metrics'!$1:$1,0)),"")</f>
        <v/>
      </c>
      <c r="P51" s="21" t="str">
        <f>IFERROR(INDEX('ORG-Metrics'!$A$1:$U$38,MATCH($C51,'ORG-Metrics'!$A$1:$A$38,0),MATCH(P$1,'ORG-Metrics'!$1:$1,0)),"")</f>
        <v/>
      </c>
      <c r="Q51" s="21" t="str">
        <f>IFERROR(INDEX('ORG-Metrics'!$A$1:$U$38,MATCH($C51,'ORG-Metrics'!$A$1:$A$38,0),MATCH(Q$1,'ORG-Metrics'!$1:$1,0)),"")</f>
        <v/>
      </c>
      <c r="R51" s="21" t="str">
        <f>IFERROR(INDEX('ORG-Metrics'!$A$1:$U$38,MATCH($C51,'ORG-Metrics'!$A$1:$A$38,0),MATCH(R$1,'ORG-Metrics'!$1:$1,0)),"")</f>
        <v/>
      </c>
      <c r="S51" s="21" t="str">
        <f>IFERROR(INDEX('ORG-Metrics'!$A$1:$U$38,MATCH($C51,'ORG-Metrics'!$A$1:$A$38,0),MATCH(S$1,'ORG-Metrics'!$1:$1,0)),"")</f>
        <v/>
      </c>
      <c r="T51" s="21" t="str">
        <f>IFERROR(INDEX('ORG-Metrics'!$A$1:$U$38,MATCH($C51,'ORG-Metrics'!$A$1:$A$38,0),MATCH(T$1,'ORG-Metrics'!$1:$1,0)),"")</f>
        <v/>
      </c>
      <c r="U51" s="21" t="str">
        <f>IFERROR(INDEX('ORG-Metrics'!$A$1:$U$38,MATCH($C51,'ORG-Metrics'!$A$1:$A$38,0),MATCH(U$1,'ORG-Metrics'!$1:$1,0)),"")</f>
        <v/>
      </c>
      <c r="V51" t="str">
        <f>IFERROR(INDEX('ORG-Metrics'!$A$1:$U$38,MATCH($C51,'ORG-Metrics'!$A$1:$A$38,0),MATCH(V$1,'ORG-Metrics'!$1:$1,0)),"")</f>
        <v/>
      </c>
      <c r="W51" t="str">
        <f>IFERROR(INDEX('ORG-Metrics'!$A$1:$U$38,MATCH($C51,'ORG-Metrics'!$A$1:$A$38,0),MATCH(W$1,'ORG-Metrics'!$1:$1,0)),"")</f>
        <v/>
      </c>
    </row>
    <row r="52" spans="4:23" x14ac:dyDescent="0.3">
      <c r="D52" s="21" t="str">
        <f>IFERROR(INDEX('ORG-Metrics'!$A$1:$U$38,MATCH($C52,'ORG-Metrics'!$A$1:$A$38,0),MATCH(D$1,'ORG-Metrics'!$1:$1,0)),"")</f>
        <v/>
      </c>
      <c r="E52" s="21" t="str">
        <f>IFERROR(INDEX('ORG-Metrics'!$A$1:$U$38,MATCH($C52,'ORG-Metrics'!$A$1:$A$38,0),MATCH(E$1,'ORG-Metrics'!$1:$1,0)),"")</f>
        <v/>
      </c>
      <c r="F52" s="21" t="str">
        <f>IFERROR(INDEX('ORG-Metrics'!$A$1:$U$38,MATCH($C52,'ORG-Metrics'!$A$1:$A$38,0),MATCH(F$1,'ORG-Metrics'!$1:$1,0)),"")</f>
        <v/>
      </c>
      <c r="G52" s="21" t="str">
        <f>IFERROR(INDEX('ORG-Metrics'!$A$1:$U$38,MATCH($C52,'ORG-Metrics'!$A$1:$A$38,0),MATCH(G$1,'ORG-Metrics'!$1:$1,0)),"")</f>
        <v/>
      </c>
      <c r="H52" s="21" t="str">
        <f>IFERROR(INDEX('ORG-Metrics'!$A$1:$U$38,MATCH($C52,'ORG-Metrics'!$A$1:$A$38,0),MATCH(H$1,'ORG-Metrics'!$1:$1,0)),"")</f>
        <v/>
      </c>
      <c r="I52" s="21" t="str">
        <f>IFERROR(INDEX('ORG-Metrics'!$A$1:$U$38,MATCH($C52,'ORG-Metrics'!$A$1:$A$38,0),MATCH(I$1,'ORG-Metrics'!$1:$1,0)),"")</f>
        <v/>
      </c>
      <c r="J52" s="21" t="str">
        <f>IFERROR(INDEX('ORG-Metrics'!$A$1:$U$38,MATCH($C52,'ORG-Metrics'!$A$1:$A$38,0),MATCH(J$1,'ORG-Metrics'!$1:$1,0)),"")</f>
        <v/>
      </c>
      <c r="K52" s="21" t="str">
        <f>IFERROR(INDEX('ORG-Metrics'!$A$1:$U$38,MATCH($C52,'ORG-Metrics'!$A$1:$A$38,0),MATCH(K$1,'ORG-Metrics'!$1:$1,0)),"")</f>
        <v/>
      </c>
      <c r="L52" s="21" t="str">
        <f>IFERROR(INDEX('ORG-Metrics'!$A$1:$U$38,MATCH($C52,'ORG-Metrics'!$A$1:$A$38,0),MATCH(L$1,'ORG-Metrics'!$1:$1,0)),"")</f>
        <v/>
      </c>
      <c r="M52" s="21" t="str">
        <f>IFERROR(INDEX('ORG-Metrics'!$A$1:$U$38,MATCH($C52,'ORG-Metrics'!$A$1:$A$38,0),MATCH(M$1,'ORG-Metrics'!$1:$1,0)),"")</f>
        <v/>
      </c>
      <c r="N52" s="21" t="str">
        <f>IFERROR(INDEX('ORG-Metrics'!$A$1:$U$38,MATCH($C52,'ORG-Metrics'!$A$1:$A$38,0),MATCH(N$1,'ORG-Metrics'!$1:$1,0)),"")</f>
        <v/>
      </c>
      <c r="O52" s="21" t="str">
        <f>IFERROR(INDEX('ORG-Metrics'!$A$1:$U$38,MATCH($C52,'ORG-Metrics'!$A$1:$A$38,0),MATCH(O$1,'ORG-Metrics'!$1:$1,0)),"")</f>
        <v/>
      </c>
      <c r="P52" s="21" t="str">
        <f>IFERROR(INDEX('ORG-Metrics'!$A$1:$U$38,MATCH($C52,'ORG-Metrics'!$A$1:$A$38,0),MATCH(P$1,'ORG-Metrics'!$1:$1,0)),"")</f>
        <v/>
      </c>
      <c r="Q52" s="21" t="str">
        <f>IFERROR(INDEX('ORG-Metrics'!$A$1:$U$38,MATCH($C52,'ORG-Metrics'!$A$1:$A$38,0),MATCH(Q$1,'ORG-Metrics'!$1:$1,0)),"")</f>
        <v/>
      </c>
      <c r="R52" s="21" t="str">
        <f>IFERROR(INDEX('ORG-Metrics'!$A$1:$U$38,MATCH($C52,'ORG-Metrics'!$A$1:$A$38,0),MATCH(R$1,'ORG-Metrics'!$1:$1,0)),"")</f>
        <v/>
      </c>
      <c r="S52" s="21" t="str">
        <f>IFERROR(INDEX('ORG-Metrics'!$A$1:$U$38,MATCH($C52,'ORG-Metrics'!$A$1:$A$38,0),MATCH(S$1,'ORG-Metrics'!$1:$1,0)),"")</f>
        <v/>
      </c>
      <c r="T52" s="21" t="str">
        <f>IFERROR(INDEX('ORG-Metrics'!$A$1:$U$38,MATCH($C52,'ORG-Metrics'!$A$1:$A$38,0),MATCH(T$1,'ORG-Metrics'!$1:$1,0)),"")</f>
        <v/>
      </c>
      <c r="U52" s="21" t="str">
        <f>IFERROR(INDEX('ORG-Metrics'!$A$1:$U$38,MATCH($C52,'ORG-Metrics'!$A$1:$A$38,0),MATCH(U$1,'ORG-Metrics'!$1:$1,0)),"")</f>
        <v/>
      </c>
      <c r="V52" t="str">
        <f>IFERROR(INDEX('ORG-Metrics'!$A$1:$U$38,MATCH($C52,'ORG-Metrics'!$A$1:$A$38,0),MATCH(V$1,'ORG-Metrics'!$1:$1,0)),"")</f>
        <v/>
      </c>
      <c r="W52" t="str">
        <f>IFERROR(INDEX('ORG-Metrics'!$A$1:$U$38,MATCH($C52,'ORG-Metrics'!$A$1:$A$38,0),MATCH(W$1,'ORG-Metrics'!$1:$1,0)),"")</f>
        <v/>
      </c>
    </row>
    <row r="53" spans="4:23" x14ac:dyDescent="0.3">
      <c r="D53" s="21" t="str">
        <f>IFERROR(INDEX('ORG-Metrics'!$A$1:$U$38,MATCH($C53,'ORG-Metrics'!$A$1:$A$38,0),MATCH(D$1,'ORG-Metrics'!$1:$1,0)),"")</f>
        <v/>
      </c>
      <c r="E53" s="21" t="str">
        <f>IFERROR(INDEX('ORG-Metrics'!$A$1:$U$38,MATCH($C53,'ORG-Metrics'!$A$1:$A$38,0),MATCH(E$1,'ORG-Metrics'!$1:$1,0)),"")</f>
        <v/>
      </c>
      <c r="F53" s="21" t="str">
        <f>IFERROR(INDEX('ORG-Metrics'!$A$1:$U$38,MATCH($C53,'ORG-Metrics'!$A$1:$A$38,0),MATCH(F$1,'ORG-Metrics'!$1:$1,0)),"")</f>
        <v/>
      </c>
      <c r="G53" s="21" t="str">
        <f>IFERROR(INDEX('ORG-Metrics'!$A$1:$U$38,MATCH($C53,'ORG-Metrics'!$A$1:$A$38,0),MATCH(G$1,'ORG-Metrics'!$1:$1,0)),"")</f>
        <v/>
      </c>
      <c r="H53" s="21" t="str">
        <f>IFERROR(INDEX('ORG-Metrics'!$A$1:$U$38,MATCH($C53,'ORG-Metrics'!$A$1:$A$38,0),MATCH(H$1,'ORG-Metrics'!$1:$1,0)),"")</f>
        <v/>
      </c>
      <c r="I53" s="21" t="str">
        <f>IFERROR(INDEX('ORG-Metrics'!$A$1:$U$38,MATCH($C53,'ORG-Metrics'!$A$1:$A$38,0),MATCH(I$1,'ORG-Metrics'!$1:$1,0)),"")</f>
        <v/>
      </c>
      <c r="J53" s="21" t="str">
        <f>IFERROR(INDEX('ORG-Metrics'!$A$1:$U$38,MATCH($C53,'ORG-Metrics'!$A$1:$A$38,0),MATCH(J$1,'ORG-Metrics'!$1:$1,0)),"")</f>
        <v/>
      </c>
      <c r="K53" s="21" t="str">
        <f>IFERROR(INDEX('ORG-Metrics'!$A$1:$U$38,MATCH($C53,'ORG-Metrics'!$A$1:$A$38,0),MATCH(K$1,'ORG-Metrics'!$1:$1,0)),"")</f>
        <v/>
      </c>
      <c r="L53" s="21" t="str">
        <f>IFERROR(INDEX('ORG-Metrics'!$A$1:$U$38,MATCH($C53,'ORG-Metrics'!$A$1:$A$38,0),MATCH(L$1,'ORG-Metrics'!$1:$1,0)),"")</f>
        <v/>
      </c>
      <c r="M53" s="21" t="str">
        <f>IFERROR(INDEX('ORG-Metrics'!$A$1:$U$38,MATCH($C53,'ORG-Metrics'!$A$1:$A$38,0),MATCH(M$1,'ORG-Metrics'!$1:$1,0)),"")</f>
        <v/>
      </c>
      <c r="N53" s="21" t="str">
        <f>IFERROR(INDEX('ORG-Metrics'!$A$1:$U$38,MATCH($C53,'ORG-Metrics'!$A$1:$A$38,0),MATCH(N$1,'ORG-Metrics'!$1:$1,0)),"")</f>
        <v/>
      </c>
      <c r="O53" s="21" t="str">
        <f>IFERROR(INDEX('ORG-Metrics'!$A$1:$U$38,MATCH($C53,'ORG-Metrics'!$A$1:$A$38,0),MATCH(O$1,'ORG-Metrics'!$1:$1,0)),"")</f>
        <v/>
      </c>
      <c r="P53" s="21" t="str">
        <f>IFERROR(INDEX('ORG-Metrics'!$A$1:$U$38,MATCH($C53,'ORG-Metrics'!$A$1:$A$38,0),MATCH(P$1,'ORG-Metrics'!$1:$1,0)),"")</f>
        <v/>
      </c>
      <c r="Q53" s="21" t="str">
        <f>IFERROR(INDEX('ORG-Metrics'!$A$1:$U$38,MATCH($C53,'ORG-Metrics'!$A$1:$A$38,0),MATCH(Q$1,'ORG-Metrics'!$1:$1,0)),"")</f>
        <v/>
      </c>
      <c r="R53" s="21" t="str">
        <f>IFERROR(INDEX('ORG-Metrics'!$A$1:$U$38,MATCH($C53,'ORG-Metrics'!$A$1:$A$38,0),MATCH(R$1,'ORG-Metrics'!$1:$1,0)),"")</f>
        <v/>
      </c>
      <c r="S53" s="21" t="str">
        <f>IFERROR(INDEX('ORG-Metrics'!$A$1:$U$38,MATCH($C53,'ORG-Metrics'!$A$1:$A$38,0),MATCH(S$1,'ORG-Metrics'!$1:$1,0)),"")</f>
        <v/>
      </c>
      <c r="T53" s="21" t="str">
        <f>IFERROR(INDEX('ORG-Metrics'!$A$1:$U$38,MATCH($C53,'ORG-Metrics'!$A$1:$A$38,0),MATCH(T$1,'ORG-Metrics'!$1:$1,0)),"")</f>
        <v/>
      </c>
      <c r="U53" s="21" t="str">
        <f>IFERROR(INDEX('ORG-Metrics'!$A$1:$U$38,MATCH($C53,'ORG-Metrics'!$A$1:$A$38,0),MATCH(U$1,'ORG-Metrics'!$1:$1,0)),"")</f>
        <v/>
      </c>
      <c r="V53" t="str">
        <f>IFERROR(INDEX('ORG-Metrics'!$A$1:$U$38,MATCH($C53,'ORG-Metrics'!$A$1:$A$38,0),MATCH(V$1,'ORG-Metrics'!$1:$1,0)),"")</f>
        <v/>
      </c>
      <c r="W53" t="str">
        <f>IFERROR(INDEX('ORG-Metrics'!$A$1:$U$38,MATCH($C53,'ORG-Metrics'!$A$1:$A$38,0),MATCH(W$1,'ORG-Metrics'!$1:$1,0)),"")</f>
        <v/>
      </c>
    </row>
    <row r="54" spans="4:23" x14ac:dyDescent="0.3">
      <c r="D54" s="21" t="str">
        <f>IFERROR(INDEX('ORG-Metrics'!$A$1:$U$38,MATCH($C54,'ORG-Metrics'!$A$1:$A$38,0),MATCH(D$1,'ORG-Metrics'!$1:$1,0)),"")</f>
        <v/>
      </c>
      <c r="E54" s="21" t="str">
        <f>IFERROR(INDEX('ORG-Metrics'!$A$1:$U$38,MATCH($C54,'ORG-Metrics'!$A$1:$A$38,0),MATCH(E$1,'ORG-Metrics'!$1:$1,0)),"")</f>
        <v/>
      </c>
      <c r="F54" s="21" t="str">
        <f>IFERROR(INDEX('ORG-Metrics'!$A$1:$U$38,MATCH($C54,'ORG-Metrics'!$A$1:$A$38,0),MATCH(F$1,'ORG-Metrics'!$1:$1,0)),"")</f>
        <v/>
      </c>
      <c r="G54" s="21" t="str">
        <f>IFERROR(INDEX('ORG-Metrics'!$A$1:$U$38,MATCH($C54,'ORG-Metrics'!$A$1:$A$38,0),MATCH(G$1,'ORG-Metrics'!$1:$1,0)),"")</f>
        <v/>
      </c>
      <c r="H54" s="21" t="str">
        <f>IFERROR(INDEX('ORG-Metrics'!$A$1:$U$38,MATCH($C54,'ORG-Metrics'!$A$1:$A$38,0),MATCH(H$1,'ORG-Metrics'!$1:$1,0)),"")</f>
        <v/>
      </c>
      <c r="I54" s="21" t="str">
        <f>IFERROR(INDEX('ORG-Metrics'!$A$1:$U$38,MATCH($C54,'ORG-Metrics'!$A$1:$A$38,0),MATCH(I$1,'ORG-Metrics'!$1:$1,0)),"")</f>
        <v/>
      </c>
      <c r="J54" s="21" t="str">
        <f>IFERROR(INDEX('ORG-Metrics'!$A$1:$U$38,MATCH($C54,'ORG-Metrics'!$A$1:$A$38,0),MATCH(J$1,'ORG-Metrics'!$1:$1,0)),"")</f>
        <v/>
      </c>
      <c r="K54" s="21" t="str">
        <f>IFERROR(INDEX('ORG-Metrics'!$A$1:$U$38,MATCH($C54,'ORG-Metrics'!$A$1:$A$38,0),MATCH(K$1,'ORG-Metrics'!$1:$1,0)),"")</f>
        <v/>
      </c>
      <c r="L54" s="21" t="str">
        <f>IFERROR(INDEX('ORG-Metrics'!$A$1:$U$38,MATCH($C54,'ORG-Metrics'!$A$1:$A$38,0),MATCH(L$1,'ORG-Metrics'!$1:$1,0)),"")</f>
        <v/>
      </c>
      <c r="M54" s="21" t="str">
        <f>IFERROR(INDEX('ORG-Metrics'!$A$1:$U$38,MATCH($C54,'ORG-Metrics'!$A$1:$A$38,0),MATCH(M$1,'ORG-Metrics'!$1:$1,0)),"")</f>
        <v/>
      </c>
      <c r="N54" s="21" t="str">
        <f>IFERROR(INDEX('ORG-Metrics'!$A$1:$U$38,MATCH($C54,'ORG-Metrics'!$A$1:$A$38,0),MATCH(N$1,'ORG-Metrics'!$1:$1,0)),"")</f>
        <v/>
      </c>
      <c r="O54" s="21" t="str">
        <f>IFERROR(INDEX('ORG-Metrics'!$A$1:$U$38,MATCH($C54,'ORG-Metrics'!$A$1:$A$38,0),MATCH(O$1,'ORG-Metrics'!$1:$1,0)),"")</f>
        <v/>
      </c>
      <c r="P54" s="21" t="str">
        <f>IFERROR(INDEX('ORG-Metrics'!$A$1:$U$38,MATCH($C54,'ORG-Metrics'!$A$1:$A$38,0),MATCH(P$1,'ORG-Metrics'!$1:$1,0)),"")</f>
        <v/>
      </c>
      <c r="Q54" s="21" t="str">
        <f>IFERROR(INDEX('ORG-Metrics'!$A$1:$U$38,MATCH($C54,'ORG-Metrics'!$A$1:$A$38,0),MATCH(Q$1,'ORG-Metrics'!$1:$1,0)),"")</f>
        <v/>
      </c>
      <c r="R54" s="21" t="str">
        <f>IFERROR(INDEX('ORG-Metrics'!$A$1:$U$38,MATCH($C54,'ORG-Metrics'!$A$1:$A$38,0),MATCH(R$1,'ORG-Metrics'!$1:$1,0)),"")</f>
        <v/>
      </c>
      <c r="S54" s="21" t="str">
        <f>IFERROR(INDEX('ORG-Metrics'!$A$1:$U$38,MATCH($C54,'ORG-Metrics'!$A$1:$A$38,0),MATCH(S$1,'ORG-Metrics'!$1:$1,0)),"")</f>
        <v/>
      </c>
      <c r="T54" s="21" t="str">
        <f>IFERROR(INDEX('ORG-Metrics'!$A$1:$U$38,MATCH($C54,'ORG-Metrics'!$A$1:$A$38,0),MATCH(T$1,'ORG-Metrics'!$1:$1,0)),"")</f>
        <v/>
      </c>
      <c r="U54" s="21" t="str">
        <f>IFERROR(INDEX('ORG-Metrics'!$A$1:$U$38,MATCH($C54,'ORG-Metrics'!$A$1:$A$38,0),MATCH(U$1,'ORG-Metrics'!$1:$1,0)),"")</f>
        <v/>
      </c>
      <c r="V54" t="str">
        <f>IFERROR(INDEX('ORG-Metrics'!$A$1:$U$38,MATCH($C54,'ORG-Metrics'!$A$1:$A$38,0),MATCH(V$1,'ORG-Metrics'!$1:$1,0)),"")</f>
        <v/>
      </c>
      <c r="W54" t="str">
        <f>IFERROR(INDEX('ORG-Metrics'!$A$1:$U$38,MATCH($C54,'ORG-Metrics'!$A$1:$A$38,0),MATCH(W$1,'ORG-Metrics'!$1:$1,0)),"")</f>
        <v/>
      </c>
    </row>
    <row r="55" spans="4:23" x14ac:dyDescent="0.3">
      <c r="D55" s="21" t="str">
        <f>IFERROR(INDEX('ORG-Metrics'!$A$1:$U$38,MATCH($C55,'ORG-Metrics'!$A$1:$A$38,0),MATCH(D$1,'ORG-Metrics'!$1:$1,0)),"")</f>
        <v/>
      </c>
      <c r="E55" s="21" t="str">
        <f>IFERROR(INDEX('ORG-Metrics'!$A$1:$U$38,MATCH($C55,'ORG-Metrics'!$A$1:$A$38,0),MATCH(E$1,'ORG-Metrics'!$1:$1,0)),"")</f>
        <v/>
      </c>
      <c r="F55" s="21" t="str">
        <f>IFERROR(INDEX('ORG-Metrics'!$A$1:$U$38,MATCH($C55,'ORG-Metrics'!$A$1:$A$38,0),MATCH(F$1,'ORG-Metrics'!$1:$1,0)),"")</f>
        <v/>
      </c>
      <c r="G55" s="21" t="str">
        <f>IFERROR(INDEX('ORG-Metrics'!$A$1:$U$38,MATCH($C55,'ORG-Metrics'!$A$1:$A$38,0),MATCH(G$1,'ORG-Metrics'!$1:$1,0)),"")</f>
        <v/>
      </c>
      <c r="H55" s="21" t="str">
        <f>IFERROR(INDEX('ORG-Metrics'!$A$1:$U$38,MATCH($C55,'ORG-Metrics'!$A$1:$A$38,0),MATCH(H$1,'ORG-Metrics'!$1:$1,0)),"")</f>
        <v/>
      </c>
      <c r="I55" s="21" t="str">
        <f>IFERROR(INDEX('ORG-Metrics'!$A$1:$U$38,MATCH($C55,'ORG-Metrics'!$A$1:$A$38,0),MATCH(I$1,'ORG-Metrics'!$1:$1,0)),"")</f>
        <v/>
      </c>
      <c r="J55" s="21" t="str">
        <f>IFERROR(INDEX('ORG-Metrics'!$A$1:$U$38,MATCH($C55,'ORG-Metrics'!$A$1:$A$38,0),MATCH(J$1,'ORG-Metrics'!$1:$1,0)),"")</f>
        <v/>
      </c>
      <c r="K55" s="21" t="str">
        <f>IFERROR(INDEX('ORG-Metrics'!$A$1:$U$38,MATCH($C55,'ORG-Metrics'!$A$1:$A$38,0),MATCH(K$1,'ORG-Metrics'!$1:$1,0)),"")</f>
        <v/>
      </c>
      <c r="L55" s="21" t="str">
        <f>IFERROR(INDEX('ORG-Metrics'!$A$1:$U$38,MATCH($C55,'ORG-Metrics'!$A$1:$A$38,0),MATCH(L$1,'ORG-Metrics'!$1:$1,0)),"")</f>
        <v/>
      </c>
      <c r="M55" s="21" t="str">
        <f>IFERROR(INDEX('ORG-Metrics'!$A$1:$U$38,MATCH($C55,'ORG-Metrics'!$A$1:$A$38,0),MATCH(M$1,'ORG-Metrics'!$1:$1,0)),"")</f>
        <v/>
      </c>
      <c r="N55" s="21" t="str">
        <f>IFERROR(INDEX('ORG-Metrics'!$A$1:$U$38,MATCH($C55,'ORG-Metrics'!$A$1:$A$38,0),MATCH(N$1,'ORG-Metrics'!$1:$1,0)),"")</f>
        <v/>
      </c>
      <c r="O55" s="21" t="str">
        <f>IFERROR(INDEX('ORG-Metrics'!$A$1:$U$38,MATCH($C55,'ORG-Metrics'!$A$1:$A$38,0),MATCH(O$1,'ORG-Metrics'!$1:$1,0)),"")</f>
        <v/>
      </c>
      <c r="P55" s="21" t="str">
        <f>IFERROR(INDEX('ORG-Metrics'!$A$1:$U$38,MATCH($C55,'ORG-Metrics'!$A$1:$A$38,0),MATCH(P$1,'ORG-Metrics'!$1:$1,0)),"")</f>
        <v/>
      </c>
      <c r="Q55" s="21" t="str">
        <f>IFERROR(INDEX('ORG-Metrics'!$A$1:$U$38,MATCH($C55,'ORG-Metrics'!$A$1:$A$38,0),MATCH(Q$1,'ORG-Metrics'!$1:$1,0)),"")</f>
        <v/>
      </c>
      <c r="R55" s="21" t="str">
        <f>IFERROR(INDEX('ORG-Metrics'!$A$1:$U$38,MATCH($C55,'ORG-Metrics'!$A$1:$A$38,0),MATCH(R$1,'ORG-Metrics'!$1:$1,0)),"")</f>
        <v/>
      </c>
      <c r="S55" s="21" t="str">
        <f>IFERROR(INDEX('ORG-Metrics'!$A$1:$U$38,MATCH($C55,'ORG-Metrics'!$A$1:$A$38,0),MATCH(S$1,'ORG-Metrics'!$1:$1,0)),"")</f>
        <v/>
      </c>
      <c r="T55" s="21" t="str">
        <f>IFERROR(INDEX('ORG-Metrics'!$A$1:$U$38,MATCH($C55,'ORG-Metrics'!$A$1:$A$38,0),MATCH(T$1,'ORG-Metrics'!$1:$1,0)),"")</f>
        <v/>
      </c>
      <c r="U55" s="21" t="str">
        <f>IFERROR(INDEX('ORG-Metrics'!$A$1:$U$38,MATCH($C55,'ORG-Metrics'!$A$1:$A$38,0),MATCH(U$1,'ORG-Metrics'!$1:$1,0)),"")</f>
        <v/>
      </c>
      <c r="V55" t="str">
        <f>IFERROR(INDEX('ORG-Metrics'!$A$1:$U$38,MATCH($C55,'ORG-Metrics'!$A$1:$A$38,0),MATCH(V$1,'ORG-Metrics'!$1:$1,0)),"")</f>
        <v/>
      </c>
      <c r="W55" t="str">
        <f>IFERROR(INDEX('ORG-Metrics'!$A$1:$U$38,MATCH($C55,'ORG-Metrics'!$A$1:$A$38,0),MATCH(W$1,'ORG-Metrics'!$1:$1,0)),"")</f>
        <v/>
      </c>
    </row>
    <row r="56" spans="4:23" x14ac:dyDescent="0.3">
      <c r="D56" s="21" t="str">
        <f>IFERROR(INDEX('ORG-Metrics'!$A$1:$U$38,MATCH($C56,'ORG-Metrics'!$A$1:$A$38,0),MATCH(D$1,'ORG-Metrics'!$1:$1,0)),"")</f>
        <v/>
      </c>
      <c r="E56" s="21" t="str">
        <f>IFERROR(INDEX('ORG-Metrics'!$A$1:$U$38,MATCH($C56,'ORG-Metrics'!$A$1:$A$38,0),MATCH(E$1,'ORG-Metrics'!$1:$1,0)),"")</f>
        <v/>
      </c>
      <c r="F56" s="21" t="str">
        <f>IFERROR(INDEX('ORG-Metrics'!$A$1:$U$38,MATCH($C56,'ORG-Metrics'!$A$1:$A$38,0),MATCH(F$1,'ORG-Metrics'!$1:$1,0)),"")</f>
        <v/>
      </c>
      <c r="G56" s="21" t="str">
        <f>IFERROR(INDEX('ORG-Metrics'!$A$1:$U$38,MATCH($C56,'ORG-Metrics'!$A$1:$A$38,0),MATCH(G$1,'ORG-Metrics'!$1:$1,0)),"")</f>
        <v/>
      </c>
      <c r="H56" s="21" t="str">
        <f>IFERROR(INDEX('ORG-Metrics'!$A$1:$U$38,MATCH($C56,'ORG-Metrics'!$A$1:$A$38,0),MATCH(H$1,'ORG-Metrics'!$1:$1,0)),"")</f>
        <v/>
      </c>
      <c r="I56" s="21" t="str">
        <f>IFERROR(INDEX('ORG-Metrics'!$A$1:$U$38,MATCH($C56,'ORG-Metrics'!$A$1:$A$38,0),MATCH(I$1,'ORG-Metrics'!$1:$1,0)),"")</f>
        <v/>
      </c>
      <c r="J56" s="21" t="str">
        <f>IFERROR(INDEX('ORG-Metrics'!$A$1:$U$38,MATCH($C56,'ORG-Metrics'!$A$1:$A$38,0),MATCH(J$1,'ORG-Metrics'!$1:$1,0)),"")</f>
        <v/>
      </c>
      <c r="K56" s="21" t="str">
        <f>IFERROR(INDEX('ORG-Metrics'!$A$1:$U$38,MATCH($C56,'ORG-Metrics'!$A$1:$A$38,0),MATCH(K$1,'ORG-Metrics'!$1:$1,0)),"")</f>
        <v/>
      </c>
      <c r="L56" s="21" t="str">
        <f>IFERROR(INDEX('ORG-Metrics'!$A$1:$U$38,MATCH($C56,'ORG-Metrics'!$A$1:$A$38,0),MATCH(L$1,'ORG-Metrics'!$1:$1,0)),"")</f>
        <v/>
      </c>
      <c r="M56" s="21" t="str">
        <f>IFERROR(INDEX('ORG-Metrics'!$A$1:$U$38,MATCH($C56,'ORG-Metrics'!$A$1:$A$38,0),MATCH(M$1,'ORG-Metrics'!$1:$1,0)),"")</f>
        <v/>
      </c>
      <c r="N56" s="21" t="str">
        <f>IFERROR(INDEX('ORG-Metrics'!$A$1:$U$38,MATCH($C56,'ORG-Metrics'!$A$1:$A$38,0),MATCH(N$1,'ORG-Metrics'!$1:$1,0)),"")</f>
        <v/>
      </c>
      <c r="O56" s="21" t="str">
        <f>IFERROR(INDEX('ORG-Metrics'!$A$1:$U$38,MATCH($C56,'ORG-Metrics'!$A$1:$A$38,0),MATCH(O$1,'ORG-Metrics'!$1:$1,0)),"")</f>
        <v/>
      </c>
      <c r="P56" s="21" t="str">
        <f>IFERROR(INDEX('ORG-Metrics'!$A$1:$U$38,MATCH($C56,'ORG-Metrics'!$A$1:$A$38,0),MATCH(P$1,'ORG-Metrics'!$1:$1,0)),"")</f>
        <v/>
      </c>
      <c r="Q56" s="21" t="str">
        <f>IFERROR(INDEX('ORG-Metrics'!$A$1:$U$38,MATCH($C56,'ORG-Metrics'!$A$1:$A$38,0),MATCH(Q$1,'ORG-Metrics'!$1:$1,0)),"")</f>
        <v/>
      </c>
      <c r="R56" s="21" t="str">
        <f>IFERROR(INDEX('ORG-Metrics'!$A$1:$U$38,MATCH($C56,'ORG-Metrics'!$A$1:$A$38,0),MATCH(R$1,'ORG-Metrics'!$1:$1,0)),"")</f>
        <v/>
      </c>
      <c r="S56" s="21" t="str">
        <f>IFERROR(INDEX('ORG-Metrics'!$A$1:$U$38,MATCH($C56,'ORG-Metrics'!$A$1:$A$38,0),MATCH(S$1,'ORG-Metrics'!$1:$1,0)),"")</f>
        <v/>
      </c>
      <c r="T56" s="21" t="str">
        <f>IFERROR(INDEX('ORG-Metrics'!$A$1:$U$38,MATCH($C56,'ORG-Metrics'!$A$1:$A$38,0),MATCH(T$1,'ORG-Metrics'!$1:$1,0)),"")</f>
        <v/>
      </c>
      <c r="U56" s="21" t="str">
        <f>IFERROR(INDEX('ORG-Metrics'!$A$1:$U$38,MATCH($C56,'ORG-Metrics'!$A$1:$A$38,0),MATCH(U$1,'ORG-Metrics'!$1:$1,0)),"")</f>
        <v/>
      </c>
      <c r="V56" t="str">
        <f>IFERROR(INDEX('ORG-Metrics'!$A$1:$U$38,MATCH($C56,'ORG-Metrics'!$A$1:$A$38,0),MATCH(V$1,'ORG-Metrics'!$1:$1,0)),"")</f>
        <v/>
      </c>
      <c r="W56" t="str">
        <f>IFERROR(INDEX('ORG-Metrics'!$A$1:$U$38,MATCH($C56,'ORG-Metrics'!$A$1:$A$38,0),MATCH(W$1,'ORG-Metrics'!$1:$1,0)),"")</f>
        <v/>
      </c>
    </row>
    <row r="57" spans="4:23" x14ac:dyDescent="0.3">
      <c r="D57" s="21" t="str">
        <f>IFERROR(INDEX('ORG-Metrics'!$A$1:$U$38,MATCH($C57,'ORG-Metrics'!$A$1:$A$38,0),MATCH(D$1,'ORG-Metrics'!$1:$1,0)),"")</f>
        <v/>
      </c>
      <c r="E57" s="21" t="str">
        <f>IFERROR(INDEX('ORG-Metrics'!$A$1:$U$38,MATCH($C57,'ORG-Metrics'!$A$1:$A$38,0),MATCH(E$1,'ORG-Metrics'!$1:$1,0)),"")</f>
        <v/>
      </c>
      <c r="F57" s="21" t="str">
        <f>IFERROR(INDEX('ORG-Metrics'!$A$1:$U$38,MATCH($C57,'ORG-Metrics'!$A$1:$A$38,0),MATCH(F$1,'ORG-Metrics'!$1:$1,0)),"")</f>
        <v/>
      </c>
      <c r="G57" s="21" t="str">
        <f>IFERROR(INDEX('ORG-Metrics'!$A$1:$U$38,MATCH($C57,'ORG-Metrics'!$A$1:$A$38,0),MATCH(G$1,'ORG-Metrics'!$1:$1,0)),"")</f>
        <v/>
      </c>
      <c r="H57" s="21" t="str">
        <f>IFERROR(INDEX('ORG-Metrics'!$A$1:$U$38,MATCH($C57,'ORG-Metrics'!$A$1:$A$38,0),MATCH(H$1,'ORG-Metrics'!$1:$1,0)),"")</f>
        <v/>
      </c>
      <c r="I57" s="21" t="str">
        <f>IFERROR(INDEX('ORG-Metrics'!$A$1:$U$38,MATCH($C57,'ORG-Metrics'!$A$1:$A$38,0),MATCH(I$1,'ORG-Metrics'!$1:$1,0)),"")</f>
        <v/>
      </c>
      <c r="J57" s="21" t="str">
        <f>IFERROR(INDEX('ORG-Metrics'!$A$1:$U$38,MATCH($C57,'ORG-Metrics'!$A$1:$A$38,0),MATCH(J$1,'ORG-Metrics'!$1:$1,0)),"")</f>
        <v/>
      </c>
      <c r="K57" s="21" t="str">
        <f>IFERROR(INDEX('ORG-Metrics'!$A$1:$U$38,MATCH($C57,'ORG-Metrics'!$A$1:$A$38,0),MATCH(K$1,'ORG-Metrics'!$1:$1,0)),"")</f>
        <v/>
      </c>
      <c r="L57" s="21" t="str">
        <f>IFERROR(INDEX('ORG-Metrics'!$A$1:$U$38,MATCH($C57,'ORG-Metrics'!$A$1:$A$38,0),MATCH(L$1,'ORG-Metrics'!$1:$1,0)),"")</f>
        <v/>
      </c>
      <c r="M57" s="21" t="str">
        <f>IFERROR(INDEX('ORG-Metrics'!$A$1:$U$38,MATCH($C57,'ORG-Metrics'!$A$1:$A$38,0),MATCH(M$1,'ORG-Metrics'!$1:$1,0)),"")</f>
        <v/>
      </c>
      <c r="N57" s="21" t="str">
        <f>IFERROR(INDEX('ORG-Metrics'!$A$1:$U$38,MATCH($C57,'ORG-Metrics'!$A$1:$A$38,0),MATCH(N$1,'ORG-Metrics'!$1:$1,0)),"")</f>
        <v/>
      </c>
      <c r="O57" s="21" t="str">
        <f>IFERROR(INDEX('ORG-Metrics'!$A$1:$U$38,MATCH($C57,'ORG-Metrics'!$A$1:$A$38,0),MATCH(O$1,'ORG-Metrics'!$1:$1,0)),"")</f>
        <v/>
      </c>
      <c r="P57" s="21" t="str">
        <f>IFERROR(INDEX('ORG-Metrics'!$A$1:$U$38,MATCH($C57,'ORG-Metrics'!$A$1:$A$38,0),MATCH(P$1,'ORG-Metrics'!$1:$1,0)),"")</f>
        <v/>
      </c>
      <c r="Q57" s="21" t="str">
        <f>IFERROR(INDEX('ORG-Metrics'!$A$1:$U$38,MATCH($C57,'ORG-Metrics'!$A$1:$A$38,0),MATCH(Q$1,'ORG-Metrics'!$1:$1,0)),"")</f>
        <v/>
      </c>
      <c r="R57" s="21" t="str">
        <f>IFERROR(INDEX('ORG-Metrics'!$A$1:$U$38,MATCH($C57,'ORG-Metrics'!$A$1:$A$38,0),MATCH(R$1,'ORG-Metrics'!$1:$1,0)),"")</f>
        <v/>
      </c>
      <c r="S57" s="21" t="str">
        <f>IFERROR(INDEX('ORG-Metrics'!$A$1:$U$38,MATCH($C57,'ORG-Metrics'!$A$1:$A$38,0),MATCH(S$1,'ORG-Metrics'!$1:$1,0)),"")</f>
        <v/>
      </c>
      <c r="T57" s="21" t="str">
        <f>IFERROR(INDEX('ORG-Metrics'!$A$1:$U$38,MATCH($C57,'ORG-Metrics'!$A$1:$A$38,0),MATCH(T$1,'ORG-Metrics'!$1:$1,0)),"")</f>
        <v/>
      </c>
      <c r="U57" s="21" t="str">
        <f>IFERROR(INDEX('ORG-Metrics'!$A$1:$U$38,MATCH($C57,'ORG-Metrics'!$A$1:$A$38,0),MATCH(U$1,'ORG-Metrics'!$1:$1,0)),"")</f>
        <v/>
      </c>
      <c r="V57" t="str">
        <f>IFERROR(INDEX('ORG-Metrics'!$A$1:$U$38,MATCH($C57,'ORG-Metrics'!$A$1:$A$38,0),MATCH(V$1,'ORG-Metrics'!$1:$1,0)),"")</f>
        <v/>
      </c>
      <c r="W57" t="str">
        <f>IFERROR(INDEX('ORG-Metrics'!$A$1:$U$38,MATCH($C57,'ORG-Metrics'!$A$1:$A$38,0),MATCH(W$1,'ORG-Metrics'!$1:$1,0)),"")</f>
        <v/>
      </c>
    </row>
    <row r="58" spans="4:23" x14ac:dyDescent="0.3">
      <c r="D58" s="21" t="str">
        <f>IFERROR(INDEX('ORG-Metrics'!$A$1:$U$38,MATCH($C58,'ORG-Metrics'!$A$1:$A$38,0),MATCH(D$1,'ORG-Metrics'!$1:$1,0)),"")</f>
        <v/>
      </c>
      <c r="E58" s="21" t="str">
        <f>IFERROR(INDEX('ORG-Metrics'!$A$1:$U$38,MATCH($C58,'ORG-Metrics'!$A$1:$A$38,0),MATCH(E$1,'ORG-Metrics'!$1:$1,0)),"")</f>
        <v/>
      </c>
      <c r="F58" s="21" t="str">
        <f>IFERROR(INDEX('ORG-Metrics'!$A$1:$U$38,MATCH($C58,'ORG-Metrics'!$A$1:$A$38,0),MATCH(F$1,'ORG-Metrics'!$1:$1,0)),"")</f>
        <v/>
      </c>
      <c r="G58" s="21" t="str">
        <f>IFERROR(INDEX('ORG-Metrics'!$A$1:$U$38,MATCH($C58,'ORG-Metrics'!$A$1:$A$38,0),MATCH(G$1,'ORG-Metrics'!$1:$1,0)),"")</f>
        <v/>
      </c>
      <c r="H58" s="21" t="str">
        <f>IFERROR(INDEX('ORG-Metrics'!$A$1:$U$38,MATCH($C58,'ORG-Metrics'!$A$1:$A$38,0),MATCH(H$1,'ORG-Metrics'!$1:$1,0)),"")</f>
        <v/>
      </c>
      <c r="I58" s="21" t="str">
        <f>IFERROR(INDEX('ORG-Metrics'!$A$1:$U$38,MATCH($C58,'ORG-Metrics'!$A$1:$A$38,0),MATCH(I$1,'ORG-Metrics'!$1:$1,0)),"")</f>
        <v/>
      </c>
      <c r="J58" s="21" t="str">
        <f>IFERROR(INDEX('ORG-Metrics'!$A$1:$U$38,MATCH($C58,'ORG-Metrics'!$A$1:$A$38,0),MATCH(J$1,'ORG-Metrics'!$1:$1,0)),"")</f>
        <v/>
      </c>
      <c r="K58" s="21" t="str">
        <f>IFERROR(INDEX('ORG-Metrics'!$A$1:$U$38,MATCH($C58,'ORG-Metrics'!$A$1:$A$38,0),MATCH(K$1,'ORG-Metrics'!$1:$1,0)),"")</f>
        <v/>
      </c>
      <c r="L58" s="21" t="str">
        <f>IFERROR(INDEX('ORG-Metrics'!$A$1:$U$38,MATCH($C58,'ORG-Metrics'!$A$1:$A$38,0),MATCH(L$1,'ORG-Metrics'!$1:$1,0)),"")</f>
        <v/>
      </c>
      <c r="M58" s="21" t="str">
        <f>IFERROR(INDEX('ORG-Metrics'!$A$1:$U$38,MATCH($C58,'ORG-Metrics'!$A$1:$A$38,0),MATCH(M$1,'ORG-Metrics'!$1:$1,0)),"")</f>
        <v/>
      </c>
      <c r="N58" s="21" t="str">
        <f>IFERROR(INDEX('ORG-Metrics'!$A$1:$U$38,MATCH($C58,'ORG-Metrics'!$A$1:$A$38,0),MATCH(N$1,'ORG-Metrics'!$1:$1,0)),"")</f>
        <v/>
      </c>
      <c r="O58" s="21" t="str">
        <f>IFERROR(INDEX('ORG-Metrics'!$A$1:$U$38,MATCH($C58,'ORG-Metrics'!$A$1:$A$38,0),MATCH(O$1,'ORG-Metrics'!$1:$1,0)),"")</f>
        <v/>
      </c>
      <c r="P58" s="21" t="str">
        <f>IFERROR(INDEX('ORG-Metrics'!$A$1:$U$38,MATCH($C58,'ORG-Metrics'!$A$1:$A$38,0),MATCH(P$1,'ORG-Metrics'!$1:$1,0)),"")</f>
        <v/>
      </c>
      <c r="Q58" s="21" t="str">
        <f>IFERROR(INDEX('ORG-Metrics'!$A$1:$U$38,MATCH($C58,'ORG-Metrics'!$A$1:$A$38,0),MATCH(Q$1,'ORG-Metrics'!$1:$1,0)),"")</f>
        <v/>
      </c>
      <c r="R58" s="21" t="str">
        <f>IFERROR(INDEX('ORG-Metrics'!$A$1:$U$38,MATCH($C58,'ORG-Metrics'!$A$1:$A$38,0),MATCH(R$1,'ORG-Metrics'!$1:$1,0)),"")</f>
        <v/>
      </c>
      <c r="S58" s="21" t="str">
        <f>IFERROR(INDEX('ORG-Metrics'!$A$1:$U$38,MATCH($C58,'ORG-Metrics'!$A$1:$A$38,0),MATCH(S$1,'ORG-Metrics'!$1:$1,0)),"")</f>
        <v/>
      </c>
      <c r="T58" s="21" t="str">
        <f>IFERROR(INDEX('ORG-Metrics'!$A$1:$U$38,MATCH($C58,'ORG-Metrics'!$A$1:$A$38,0),MATCH(T$1,'ORG-Metrics'!$1:$1,0)),"")</f>
        <v/>
      </c>
      <c r="U58" s="21" t="str">
        <f>IFERROR(INDEX('ORG-Metrics'!$A$1:$U$38,MATCH($C58,'ORG-Metrics'!$A$1:$A$38,0),MATCH(U$1,'ORG-Metrics'!$1:$1,0)),"")</f>
        <v/>
      </c>
      <c r="V58" t="str">
        <f>IFERROR(INDEX('ORG-Metrics'!$A$1:$U$38,MATCH($C58,'ORG-Metrics'!$A$1:$A$38,0),MATCH(V$1,'ORG-Metrics'!$1:$1,0)),"")</f>
        <v/>
      </c>
      <c r="W58" t="str">
        <f>IFERROR(INDEX('ORG-Metrics'!$A$1:$U$38,MATCH($C58,'ORG-Metrics'!$A$1:$A$38,0),MATCH(W$1,'ORG-Metrics'!$1:$1,0)),"")</f>
        <v/>
      </c>
    </row>
    <row r="59" spans="4:23" x14ac:dyDescent="0.3">
      <c r="D59" s="21" t="str">
        <f>IFERROR(INDEX('ORG-Metrics'!$A$1:$U$38,MATCH($C59,'ORG-Metrics'!$A$1:$A$38,0),MATCH(D$1,'ORG-Metrics'!$1:$1,0)),"")</f>
        <v/>
      </c>
      <c r="E59" s="21" t="str">
        <f>IFERROR(INDEX('ORG-Metrics'!$A$1:$U$38,MATCH($C59,'ORG-Metrics'!$A$1:$A$38,0),MATCH(E$1,'ORG-Metrics'!$1:$1,0)),"")</f>
        <v/>
      </c>
      <c r="F59" s="21" t="str">
        <f>IFERROR(INDEX('ORG-Metrics'!$A$1:$U$38,MATCH($C59,'ORG-Metrics'!$A$1:$A$38,0),MATCH(F$1,'ORG-Metrics'!$1:$1,0)),"")</f>
        <v/>
      </c>
      <c r="G59" s="21" t="str">
        <f>IFERROR(INDEX('ORG-Metrics'!$A$1:$U$38,MATCH($C59,'ORG-Metrics'!$A$1:$A$38,0),MATCH(G$1,'ORG-Metrics'!$1:$1,0)),"")</f>
        <v/>
      </c>
      <c r="H59" s="21" t="str">
        <f>IFERROR(INDEX('ORG-Metrics'!$A$1:$U$38,MATCH($C59,'ORG-Metrics'!$A$1:$A$38,0),MATCH(H$1,'ORG-Metrics'!$1:$1,0)),"")</f>
        <v/>
      </c>
      <c r="I59" s="21" t="str">
        <f>IFERROR(INDEX('ORG-Metrics'!$A$1:$U$38,MATCH($C59,'ORG-Metrics'!$A$1:$A$38,0),MATCH(I$1,'ORG-Metrics'!$1:$1,0)),"")</f>
        <v/>
      </c>
      <c r="J59" s="21" t="str">
        <f>IFERROR(INDEX('ORG-Metrics'!$A$1:$U$38,MATCH($C59,'ORG-Metrics'!$A$1:$A$38,0),MATCH(J$1,'ORG-Metrics'!$1:$1,0)),"")</f>
        <v/>
      </c>
      <c r="K59" s="21" t="str">
        <f>IFERROR(INDEX('ORG-Metrics'!$A$1:$U$38,MATCH($C59,'ORG-Metrics'!$A$1:$A$38,0),MATCH(K$1,'ORG-Metrics'!$1:$1,0)),"")</f>
        <v/>
      </c>
      <c r="L59" s="21" t="str">
        <f>IFERROR(INDEX('ORG-Metrics'!$A$1:$U$38,MATCH($C59,'ORG-Metrics'!$A$1:$A$38,0),MATCH(L$1,'ORG-Metrics'!$1:$1,0)),"")</f>
        <v/>
      </c>
      <c r="M59" s="21" t="str">
        <f>IFERROR(INDEX('ORG-Metrics'!$A$1:$U$38,MATCH($C59,'ORG-Metrics'!$A$1:$A$38,0),MATCH(M$1,'ORG-Metrics'!$1:$1,0)),"")</f>
        <v/>
      </c>
      <c r="N59" s="21" t="str">
        <f>IFERROR(INDEX('ORG-Metrics'!$A$1:$U$38,MATCH($C59,'ORG-Metrics'!$A$1:$A$38,0),MATCH(N$1,'ORG-Metrics'!$1:$1,0)),"")</f>
        <v/>
      </c>
      <c r="O59" s="21" t="str">
        <f>IFERROR(INDEX('ORG-Metrics'!$A$1:$U$38,MATCH($C59,'ORG-Metrics'!$A$1:$A$38,0),MATCH(O$1,'ORG-Metrics'!$1:$1,0)),"")</f>
        <v/>
      </c>
      <c r="P59" s="21" t="str">
        <f>IFERROR(INDEX('ORG-Metrics'!$A$1:$U$38,MATCH($C59,'ORG-Metrics'!$A$1:$A$38,0),MATCH(P$1,'ORG-Metrics'!$1:$1,0)),"")</f>
        <v/>
      </c>
      <c r="Q59" s="21" t="str">
        <f>IFERROR(INDEX('ORG-Metrics'!$A$1:$U$38,MATCH($C59,'ORG-Metrics'!$A$1:$A$38,0),MATCH(Q$1,'ORG-Metrics'!$1:$1,0)),"")</f>
        <v/>
      </c>
      <c r="R59" s="21" t="str">
        <f>IFERROR(INDEX('ORG-Metrics'!$A$1:$U$38,MATCH($C59,'ORG-Metrics'!$A$1:$A$38,0),MATCH(R$1,'ORG-Metrics'!$1:$1,0)),"")</f>
        <v/>
      </c>
      <c r="S59" s="21" t="str">
        <f>IFERROR(INDEX('ORG-Metrics'!$A$1:$U$38,MATCH($C59,'ORG-Metrics'!$A$1:$A$38,0),MATCH(S$1,'ORG-Metrics'!$1:$1,0)),"")</f>
        <v/>
      </c>
      <c r="T59" s="21" t="str">
        <f>IFERROR(INDEX('ORG-Metrics'!$A$1:$U$38,MATCH($C59,'ORG-Metrics'!$A$1:$A$38,0),MATCH(T$1,'ORG-Metrics'!$1:$1,0)),"")</f>
        <v/>
      </c>
      <c r="U59" s="21" t="str">
        <f>IFERROR(INDEX('ORG-Metrics'!$A$1:$U$38,MATCH($C59,'ORG-Metrics'!$A$1:$A$38,0),MATCH(U$1,'ORG-Metrics'!$1:$1,0)),"")</f>
        <v/>
      </c>
      <c r="V59" t="str">
        <f>IFERROR(INDEX('ORG-Metrics'!$A$1:$U$38,MATCH($C59,'ORG-Metrics'!$A$1:$A$38,0),MATCH(V$1,'ORG-Metrics'!$1:$1,0)),"")</f>
        <v/>
      </c>
      <c r="W59" t="str">
        <f>IFERROR(INDEX('ORG-Metrics'!$A$1:$U$38,MATCH($C59,'ORG-Metrics'!$A$1:$A$38,0),MATCH(W$1,'ORG-Metrics'!$1:$1,0)),"")</f>
        <v/>
      </c>
    </row>
    <row r="60" spans="4:23" x14ac:dyDescent="0.3">
      <c r="D60" s="21" t="str">
        <f>IFERROR(INDEX('ORG-Metrics'!$A$1:$U$38,MATCH($C60,'ORG-Metrics'!$A$1:$A$38,0),MATCH(D$1,'ORG-Metrics'!$1:$1,0)),"")</f>
        <v/>
      </c>
      <c r="E60" s="21" t="str">
        <f>IFERROR(INDEX('ORG-Metrics'!$A$1:$U$38,MATCH($C60,'ORG-Metrics'!$A$1:$A$38,0),MATCH(E$1,'ORG-Metrics'!$1:$1,0)),"")</f>
        <v/>
      </c>
      <c r="F60" s="21" t="str">
        <f>IFERROR(INDEX('ORG-Metrics'!$A$1:$U$38,MATCH($C60,'ORG-Metrics'!$A$1:$A$38,0),MATCH(F$1,'ORG-Metrics'!$1:$1,0)),"")</f>
        <v/>
      </c>
      <c r="G60" s="21" t="str">
        <f>IFERROR(INDEX('ORG-Metrics'!$A$1:$U$38,MATCH($C60,'ORG-Metrics'!$A$1:$A$38,0),MATCH(G$1,'ORG-Metrics'!$1:$1,0)),"")</f>
        <v/>
      </c>
      <c r="H60" s="21" t="str">
        <f>IFERROR(INDEX('ORG-Metrics'!$A$1:$U$38,MATCH($C60,'ORG-Metrics'!$A$1:$A$38,0),MATCH(H$1,'ORG-Metrics'!$1:$1,0)),"")</f>
        <v/>
      </c>
      <c r="I60" s="21" t="str">
        <f>IFERROR(INDEX('ORG-Metrics'!$A$1:$U$38,MATCH($C60,'ORG-Metrics'!$A$1:$A$38,0),MATCH(I$1,'ORG-Metrics'!$1:$1,0)),"")</f>
        <v/>
      </c>
      <c r="J60" s="21" t="str">
        <f>IFERROR(INDEX('ORG-Metrics'!$A$1:$U$38,MATCH($C60,'ORG-Metrics'!$A$1:$A$38,0),MATCH(J$1,'ORG-Metrics'!$1:$1,0)),"")</f>
        <v/>
      </c>
      <c r="K60" s="21" t="str">
        <f>IFERROR(INDEX('ORG-Metrics'!$A$1:$U$38,MATCH($C60,'ORG-Metrics'!$A$1:$A$38,0),MATCH(K$1,'ORG-Metrics'!$1:$1,0)),"")</f>
        <v/>
      </c>
      <c r="L60" s="21" t="str">
        <f>IFERROR(INDEX('ORG-Metrics'!$A$1:$U$38,MATCH($C60,'ORG-Metrics'!$A$1:$A$38,0),MATCH(L$1,'ORG-Metrics'!$1:$1,0)),"")</f>
        <v/>
      </c>
      <c r="M60" s="21" t="str">
        <f>IFERROR(INDEX('ORG-Metrics'!$A$1:$U$38,MATCH($C60,'ORG-Metrics'!$A$1:$A$38,0),MATCH(M$1,'ORG-Metrics'!$1:$1,0)),"")</f>
        <v/>
      </c>
      <c r="N60" s="21" t="str">
        <f>IFERROR(INDEX('ORG-Metrics'!$A$1:$U$38,MATCH($C60,'ORG-Metrics'!$A$1:$A$38,0),MATCH(N$1,'ORG-Metrics'!$1:$1,0)),"")</f>
        <v/>
      </c>
      <c r="O60" s="21" t="str">
        <f>IFERROR(INDEX('ORG-Metrics'!$A$1:$U$38,MATCH($C60,'ORG-Metrics'!$A$1:$A$38,0),MATCH(O$1,'ORG-Metrics'!$1:$1,0)),"")</f>
        <v/>
      </c>
      <c r="P60" s="21" t="str">
        <f>IFERROR(INDEX('ORG-Metrics'!$A$1:$U$38,MATCH($C60,'ORG-Metrics'!$A$1:$A$38,0),MATCH(P$1,'ORG-Metrics'!$1:$1,0)),"")</f>
        <v/>
      </c>
      <c r="Q60" s="21" t="str">
        <f>IFERROR(INDEX('ORG-Metrics'!$A$1:$U$38,MATCH($C60,'ORG-Metrics'!$A$1:$A$38,0),MATCH(Q$1,'ORG-Metrics'!$1:$1,0)),"")</f>
        <v/>
      </c>
      <c r="R60" s="21" t="str">
        <f>IFERROR(INDEX('ORG-Metrics'!$A$1:$U$38,MATCH($C60,'ORG-Metrics'!$A$1:$A$38,0),MATCH(R$1,'ORG-Metrics'!$1:$1,0)),"")</f>
        <v/>
      </c>
      <c r="S60" s="21" t="str">
        <f>IFERROR(INDEX('ORG-Metrics'!$A$1:$U$38,MATCH($C60,'ORG-Metrics'!$A$1:$A$38,0),MATCH(S$1,'ORG-Metrics'!$1:$1,0)),"")</f>
        <v/>
      </c>
      <c r="T60" s="21" t="str">
        <f>IFERROR(INDEX('ORG-Metrics'!$A$1:$U$38,MATCH($C60,'ORG-Metrics'!$A$1:$A$38,0),MATCH(T$1,'ORG-Metrics'!$1:$1,0)),"")</f>
        <v/>
      </c>
      <c r="U60" s="21" t="str">
        <f>IFERROR(INDEX('ORG-Metrics'!$A$1:$U$38,MATCH($C60,'ORG-Metrics'!$A$1:$A$38,0),MATCH(U$1,'ORG-Metrics'!$1:$1,0)),"")</f>
        <v/>
      </c>
      <c r="V60" t="str">
        <f>IFERROR(INDEX('ORG-Metrics'!$A$1:$U$38,MATCH($C60,'ORG-Metrics'!$A$1:$A$38,0),MATCH(V$1,'ORG-Metrics'!$1:$1,0)),"")</f>
        <v/>
      </c>
      <c r="W60" t="str">
        <f>IFERROR(INDEX('ORG-Metrics'!$A$1:$U$38,MATCH($C60,'ORG-Metrics'!$A$1:$A$38,0),MATCH(W$1,'ORG-Metrics'!$1:$1,0)),"")</f>
        <v/>
      </c>
    </row>
    <row r="61" spans="4:23" x14ac:dyDescent="0.3">
      <c r="D61" s="21" t="str">
        <f>IFERROR(INDEX('ORG-Metrics'!$A$1:$U$38,MATCH($C61,'ORG-Metrics'!$A$1:$A$38,0),MATCH(D$1,'ORG-Metrics'!$1:$1,0)),"")</f>
        <v/>
      </c>
      <c r="E61" s="21" t="str">
        <f>IFERROR(INDEX('ORG-Metrics'!$A$1:$U$38,MATCH($C61,'ORG-Metrics'!$A$1:$A$38,0),MATCH(E$1,'ORG-Metrics'!$1:$1,0)),"")</f>
        <v/>
      </c>
      <c r="F61" s="21" t="str">
        <f>IFERROR(INDEX('ORG-Metrics'!$A$1:$U$38,MATCH($C61,'ORG-Metrics'!$A$1:$A$38,0),MATCH(F$1,'ORG-Metrics'!$1:$1,0)),"")</f>
        <v/>
      </c>
      <c r="G61" s="21" t="str">
        <f>IFERROR(INDEX('ORG-Metrics'!$A$1:$U$38,MATCH($C61,'ORG-Metrics'!$A$1:$A$38,0),MATCH(G$1,'ORG-Metrics'!$1:$1,0)),"")</f>
        <v/>
      </c>
      <c r="H61" s="21" t="str">
        <f>IFERROR(INDEX('ORG-Metrics'!$A$1:$U$38,MATCH($C61,'ORG-Metrics'!$A$1:$A$38,0),MATCH(H$1,'ORG-Metrics'!$1:$1,0)),"")</f>
        <v/>
      </c>
      <c r="I61" s="21" t="str">
        <f>IFERROR(INDEX('ORG-Metrics'!$A$1:$U$38,MATCH($C61,'ORG-Metrics'!$A$1:$A$38,0),MATCH(I$1,'ORG-Metrics'!$1:$1,0)),"")</f>
        <v/>
      </c>
      <c r="J61" s="21" t="str">
        <f>IFERROR(INDEX('ORG-Metrics'!$A$1:$U$38,MATCH($C61,'ORG-Metrics'!$A$1:$A$38,0),MATCH(J$1,'ORG-Metrics'!$1:$1,0)),"")</f>
        <v/>
      </c>
      <c r="K61" s="21" t="str">
        <f>IFERROR(INDEX('ORG-Metrics'!$A$1:$U$38,MATCH($C61,'ORG-Metrics'!$A$1:$A$38,0),MATCH(K$1,'ORG-Metrics'!$1:$1,0)),"")</f>
        <v/>
      </c>
      <c r="L61" s="21" t="str">
        <f>IFERROR(INDEX('ORG-Metrics'!$A$1:$U$38,MATCH($C61,'ORG-Metrics'!$A$1:$A$38,0),MATCH(L$1,'ORG-Metrics'!$1:$1,0)),"")</f>
        <v/>
      </c>
      <c r="M61" s="21" t="str">
        <f>IFERROR(INDEX('ORG-Metrics'!$A$1:$U$38,MATCH($C61,'ORG-Metrics'!$A$1:$A$38,0),MATCH(M$1,'ORG-Metrics'!$1:$1,0)),"")</f>
        <v/>
      </c>
      <c r="N61" s="21" t="str">
        <f>IFERROR(INDEX('ORG-Metrics'!$A$1:$U$38,MATCH($C61,'ORG-Metrics'!$A$1:$A$38,0),MATCH(N$1,'ORG-Metrics'!$1:$1,0)),"")</f>
        <v/>
      </c>
      <c r="O61" s="21" t="str">
        <f>IFERROR(INDEX('ORG-Metrics'!$A$1:$U$38,MATCH($C61,'ORG-Metrics'!$A$1:$A$38,0),MATCH(O$1,'ORG-Metrics'!$1:$1,0)),"")</f>
        <v/>
      </c>
      <c r="P61" s="21" t="str">
        <f>IFERROR(INDEX('ORG-Metrics'!$A$1:$U$38,MATCH($C61,'ORG-Metrics'!$A$1:$A$38,0),MATCH(P$1,'ORG-Metrics'!$1:$1,0)),"")</f>
        <v/>
      </c>
      <c r="Q61" s="21" t="str">
        <f>IFERROR(INDEX('ORG-Metrics'!$A$1:$U$38,MATCH($C61,'ORG-Metrics'!$A$1:$A$38,0),MATCH(Q$1,'ORG-Metrics'!$1:$1,0)),"")</f>
        <v/>
      </c>
      <c r="R61" s="21" t="str">
        <f>IFERROR(INDEX('ORG-Metrics'!$A$1:$U$38,MATCH($C61,'ORG-Metrics'!$A$1:$A$38,0),MATCH(R$1,'ORG-Metrics'!$1:$1,0)),"")</f>
        <v/>
      </c>
      <c r="S61" s="21" t="str">
        <f>IFERROR(INDEX('ORG-Metrics'!$A$1:$U$38,MATCH($C61,'ORG-Metrics'!$A$1:$A$38,0),MATCH(S$1,'ORG-Metrics'!$1:$1,0)),"")</f>
        <v/>
      </c>
      <c r="T61" s="21" t="str">
        <f>IFERROR(INDEX('ORG-Metrics'!$A$1:$U$38,MATCH($C61,'ORG-Metrics'!$A$1:$A$38,0),MATCH(T$1,'ORG-Metrics'!$1:$1,0)),"")</f>
        <v/>
      </c>
      <c r="U61" s="21" t="str">
        <f>IFERROR(INDEX('ORG-Metrics'!$A$1:$U$38,MATCH($C61,'ORG-Metrics'!$A$1:$A$38,0),MATCH(U$1,'ORG-Metrics'!$1:$1,0)),"")</f>
        <v/>
      </c>
      <c r="V61" t="str">
        <f>IFERROR(INDEX('ORG-Metrics'!$A$1:$U$38,MATCH($C61,'ORG-Metrics'!$A$1:$A$38,0),MATCH(V$1,'ORG-Metrics'!$1:$1,0)),"")</f>
        <v/>
      </c>
      <c r="W61" t="str">
        <f>IFERROR(INDEX('ORG-Metrics'!$A$1:$U$38,MATCH($C61,'ORG-Metrics'!$A$1:$A$38,0),MATCH(W$1,'ORG-Metrics'!$1:$1,0)),"")</f>
        <v/>
      </c>
    </row>
    <row r="62" spans="4:23" x14ac:dyDescent="0.3">
      <c r="D62" s="21" t="str">
        <f>IFERROR(INDEX('ORG-Metrics'!$A$1:$U$38,MATCH($C62,'ORG-Metrics'!$A$1:$A$38,0),MATCH(D$1,'ORG-Metrics'!$1:$1,0)),"")</f>
        <v/>
      </c>
      <c r="E62" s="21" t="str">
        <f>IFERROR(INDEX('ORG-Metrics'!$A$1:$U$38,MATCH($C62,'ORG-Metrics'!$A$1:$A$38,0),MATCH(E$1,'ORG-Metrics'!$1:$1,0)),"")</f>
        <v/>
      </c>
      <c r="F62" s="21" t="str">
        <f>IFERROR(INDEX('ORG-Metrics'!$A$1:$U$38,MATCH($C62,'ORG-Metrics'!$A$1:$A$38,0),MATCH(F$1,'ORG-Metrics'!$1:$1,0)),"")</f>
        <v/>
      </c>
      <c r="G62" s="21" t="str">
        <f>IFERROR(INDEX('ORG-Metrics'!$A$1:$U$38,MATCH($C62,'ORG-Metrics'!$A$1:$A$38,0),MATCH(G$1,'ORG-Metrics'!$1:$1,0)),"")</f>
        <v/>
      </c>
      <c r="H62" s="21" t="str">
        <f>IFERROR(INDEX('ORG-Metrics'!$A$1:$U$38,MATCH($C62,'ORG-Metrics'!$A$1:$A$38,0),MATCH(H$1,'ORG-Metrics'!$1:$1,0)),"")</f>
        <v/>
      </c>
      <c r="I62" s="21" t="str">
        <f>IFERROR(INDEX('ORG-Metrics'!$A$1:$U$38,MATCH($C62,'ORG-Metrics'!$A$1:$A$38,0),MATCH(I$1,'ORG-Metrics'!$1:$1,0)),"")</f>
        <v/>
      </c>
      <c r="J62" s="21" t="str">
        <f>IFERROR(INDEX('ORG-Metrics'!$A$1:$U$38,MATCH($C62,'ORG-Metrics'!$A$1:$A$38,0),MATCH(J$1,'ORG-Metrics'!$1:$1,0)),"")</f>
        <v/>
      </c>
      <c r="K62" s="21" t="str">
        <f>IFERROR(INDEX('ORG-Metrics'!$A$1:$U$38,MATCH($C62,'ORG-Metrics'!$A$1:$A$38,0),MATCH(K$1,'ORG-Metrics'!$1:$1,0)),"")</f>
        <v/>
      </c>
      <c r="L62" s="21" t="str">
        <f>IFERROR(INDEX('ORG-Metrics'!$A$1:$U$38,MATCH($C62,'ORG-Metrics'!$A$1:$A$38,0),MATCH(L$1,'ORG-Metrics'!$1:$1,0)),"")</f>
        <v/>
      </c>
      <c r="M62" s="21" t="str">
        <f>IFERROR(INDEX('ORG-Metrics'!$A$1:$U$38,MATCH($C62,'ORG-Metrics'!$A$1:$A$38,0),MATCH(M$1,'ORG-Metrics'!$1:$1,0)),"")</f>
        <v/>
      </c>
      <c r="N62" s="21" t="str">
        <f>IFERROR(INDEX('ORG-Metrics'!$A$1:$U$38,MATCH($C62,'ORG-Metrics'!$A$1:$A$38,0),MATCH(N$1,'ORG-Metrics'!$1:$1,0)),"")</f>
        <v/>
      </c>
      <c r="O62" s="21" t="str">
        <f>IFERROR(INDEX('ORG-Metrics'!$A$1:$U$38,MATCH($C62,'ORG-Metrics'!$A$1:$A$38,0),MATCH(O$1,'ORG-Metrics'!$1:$1,0)),"")</f>
        <v/>
      </c>
      <c r="P62" s="21" t="str">
        <f>IFERROR(INDEX('ORG-Metrics'!$A$1:$U$38,MATCH($C62,'ORG-Metrics'!$A$1:$A$38,0),MATCH(P$1,'ORG-Metrics'!$1:$1,0)),"")</f>
        <v/>
      </c>
      <c r="Q62" s="21" t="str">
        <f>IFERROR(INDEX('ORG-Metrics'!$A$1:$U$38,MATCH($C62,'ORG-Metrics'!$A$1:$A$38,0),MATCH(Q$1,'ORG-Metrics'!$1:$1,0)),"")</f>
        <v/>
      </c>
      <c r="R62" s="21" t="str">
        <f>IFERROR(INDEX('ORG-Metrics'!$A$1:$U$38,MATCH($C62,'ORG-Metrics'!$A$1:$A$38,0),MATCH(R$1,'ORG-Metrics'!$1:$1,0)),"")</f>
        <v/>
      </c>
      <c r="S62" s="21" t="str">
        <f>IFERROR(INDEX('ORG-Metrics'!$A$1:$U$38,MATCH($C62,'ORG-Metrics'!$A$1:$A$38,0),MATCH(S$1,'ORG-Metrics'!$1:$1,0)),"")</f>
        <v/>
      </c>
      <c r="T62" s="21" t="str">
        <f>IFERROR(INDEX('ORG-Metrics'!$A$1:$U$38,MATCH($C62,'ORG-Metrics'!$A$1:$A$38,0),MATCH(T$1,'ORG-Metrics'!$1:$1,0)),"")</f>
        <v/>
      </c>
      <c r="U62" s="21" t="str">
        <f>IFERROR(INDEX('ORG-Metrics'!$A$1:$U$38,MATCH($C62,'ORG-Metrics'!$A$1:$A$38,0),MATCH(U$1,'ORG-Metrics'!$1:$1,0)),"")</f>
        <v/>
      </c>
      <c r="V62" t="str">
        <f>IFERROR(INDEX('ORG-Metrics'!$A$1:$U$38,MATCH($C62,'ORG-Metrics'!$A$1:$A$38,0),MATCH(V$1,'ORG-Metrics'!$1:$1,0)),"")</f>
        <v/>
      </c>
      <c r="W62" t="str">
        <f>IFERROR(INDEX('ORG-Metrics'!$A$1:$U$38,MATCH($C62,'ORG-Metrics'!$A$1:$A$38,0),MATCH(W$1,'ORG-Metrics'!$1:$1,0)),"")</f>
        <v/>
      </c>
    </row>
    <row r="63" spans="4:23" x14ac:dyDescent="0.3">
      <c r="D63" s="21" t="str">
        <f>IFERROR(INDEX('ORG-Metrics'!$A$1:$U$38,MATCH($C63,'ORG-Metrics'!$A$1:$A$38,0),MATCH(D$1,'ORG-Metrics'!$1:$1,0)),"")</f>
        <v/>
      </c>
      <c r="E63" s="21" t="str">
        <f>IFERROR(INDEX('ORG-Metrics'!$A$1:$U$38,MATCH($C63,'ORG-Metrics'!$A$1:$A$38,0),MATCH(E$1,'ORG-Metrics'!$1:$1,0)),"")</f>
        <v/>
      </c>
      <c r="F63" s="21" t="str">
        <f>IFERROR(INDEX('ORG-Metrics'!$A$1:$U$38,MATCH($C63,'ORG-Metrics'!$A$1:$A$38,0),MATCH(F$1,'ORG-Metrics'!$1:$1,0)),"")</f>
        <v/>
      </c>
      <c r="G63" s="21" t="str">
        <f>IFERROR(INDEX('ORG-Metrics'!$A$1:$U$38,MATCH($C63,'ORG-Metrics'!$A$1:$A$38,0),MATCH(G$1,'ORG-Metrics'!$1:$1,0)),"")</f>
        <v/>
      </c>
      <c r="H63" s="21" t="str">
        <f>IFERROR(INDEX('ORG-Metrics'!$A$1:$U$38,MATCH($C63,'ORG-Metrics'!$A$1:$A$38,0),MATCH(H$1,'ORG-Metrics'!$1:$1,0)),"")</f>
        <v/>
      </c>
      <c r="I63" s="21" t="str">
        <f>IFERROR(INDEX('ORG-Metrics'!$A$1:$U$38,MATCH($C63,'ORG-Metrics'!$A$1:$A$38,0),MATCH(I$1,'ORG-Metrics'!$1:$1,0)),"")</f>
        <v/>
      </c>
      <c r="J63" s="21" t="str">
        <f>IFERROR(INDEX('ORG-Metrics'!$A$1:$U$38,MATCH($C63,'ORG-Metrics'!$A$1:$A$38,0),MATCH(J$1,'ORG-Metrics'!$1:$1,0)),"")</f>
        <v/>
      </c>
      <c r="K63" s="21" t="str">
        <f>IFERROR(INDEX('ORG-Metrics'!$A$1:$U$38,MATCH($C63,'ORG-Metrics'!$A$1:$A$38,0),MATCH(K$1,'ORG-Metrics'!$1:$1,0)),"")</f>
        <v/>
      </c>
      <c r="L63" s="21" t="str">
        <f>IFERROR(INDEX('ORG-Metrics'!$A$1:$U$38,MATCH($C63,'ORG-Metrics'!$A$1:$A$38,0),MATCH(L$1,'ORG-Metrics'!$1:$1,0)),"")</f>
        <v/>
      </c>
      <c r="M63" s="21" t="str">
        <f>IFERROR(INDEX('ORG-Metrics'!$A$1:$U$38,MATCH($C63,'ORG-Metrics'!$A$1:$A$38,0),MATCH(M$1,'ORG-Metrics'!$1:$1,0)),"")</f>
        <v/>
      </c>
      <c r="N63" s="21" t="str">
        <f>IFERROR(INDEX('ORG-Metrics'!$A$1:$U$38,MATCH($C63,'ORG-Metrics'!$A$1:$A$38,0),MATCH(N$1,'ORG-Metrics'!$1:$1,0)),"")</f>
        <v/>
      </c>
      <c r="O63" s="21" t="str">
        <f>IFERROR(INDEX('ORG-Metrics'!$A$1:$U$38,MATCH($C63,'ORG-Metrics'!$A$1:$A$38,0),MATCH(O$1,'ORG-Metrics'!$1:$1,0)),"")</f>
        <v/>
      </c>
      <c r="P63" s="21" t="str">
        <f>IFERROR(INDEX('ORG-Metrics'!$A$1:$U$38,MATCH($C63,'ORG-Metrics'!$A$1:$A$38,0),MATCH(P$1,'ORG-Metrics'!$1:$1,0)),"")</f>
        <v/>
      </c>
      <c r="Q63" s="21" t="str">
        <f>IFERROR(INDEX('ORG-Metrics'!$A$1:$U$38,MATCH($C63,'ORG-Metrics'!$A$1:$A$38,0),MATCH(Q$1,'ORG-Metrics'!$1:$1,0)),"")</f>
        <v/>
      </c>
      <c r="R63" s="21" t="str">
        <f>IFERROR(INDEX('ORG-Metrics'!$A$1:$U$38,MATCH($C63,'ORG-Metrics'!$A$1:$A$38,0),MATCH(R$1,'ORG-Metrics'!$1:$1,0)),"")</f>
        <v/>
      </c>
      <c r="S63" s="21" t="str">
        <f>IFERROR(INDEX('ORG-Metrics'!$A$1:$U$38,MATCH($C63,'ORG-Metrics'!$A$1:$A$38,0),MATCH(S$1,'ORG-Metrics'!$1:$1,0)),"")</f>
        <v/>
      </c>
      <c r="T63" s="21" t="str">
        <f>IFERROR(INDEX('ORG-Metrics'!$A$1:$U$38,MATCH($C63,'ORG-Metrics'!$A$1:$A$38,0),MATCH(T$1,'ORG-Metrics'!$1:$1,0)),"")</f>
        <v/>
      </c>
      <c r="U63" s="21" t="str">
        <f>IFERROR(INDEX('ORG-Metrics'!$A$1:$U$38,MATCH($C63,'ORG-Metrics'!$A$1:$A$38,0),MATCH(U$1,'ORG-Metrics'!$1:$1,0)),"")</f>
        <v/>
      </c>
      <c r="V63" t="str">
        <f>IFERROR(INDEX('ORG-Metrics'!$A$1:$U$38,MATCH($C63,'ORG-Metrics'!$A$1:$A$38,0),MATCH(V$1,'ORG-Metrics'!$1:$1,0)),"")</f>
        <v/>
      </c>
      <c r="W63" t="str">
        <f>IFERROR(INDEX('ORG-Metrics'!$A$1:$U$38,MATCH($C63,'ORG-Metrics'!$A$1:$A$38,0),MATCH(W$1,'ORG-Metrics'!$1:$1,0)),"")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274C9-EC43-4161-AECA-0DB316A9BE36}">
  <sheetPr codeName="Sheet4"/>
  <dimension ref="A1:X51"/>
  <sheetViews>
    <sheetView workbookViewId="0">
      <selection activeCell="C2" sqref="C2"/>
    </sheetView>
  </sheetViews>
  <sheetFormatPr defaultColWidth="8.8984375" defaultRowHeight="15.6" x14ac:dyDescent="0.3"/>
  <cols>
    <col min="1" max="1" width="36.09765625" customWidth="1"/>
    <col min="2" max="2" width="12.59765625" customWidth="1"/>
    <col min="3" max="3" width="15.09765625" bestFit="1" customWidth="1"/>
    <col min="4" max="5" width="17.59765625" bestFit="1" customWidth="1"/>
    <col min="6" max="6" width="30" bestFit="1" customWidth="1"/>
    <col min="13" max="13" width="24.59765625" bestFit="1" customWidth="1"/>
    <col min="14" max="14" width="15.3984375" bestFit="1" customWidth="1"/>
    <col min="15" max="15" width="24.5" bestFit="1" customWidth="1"/>
    <col min="16" max="16" width="15.09765625" bestFit="1" customWidth="1"/>
    <col min="17" max="17" width="30" bestFit="1" customWidth="1"/>
  </cols>
  <sheetData>
    <row r="1" spans="1:24" ht="16.2" thickBot="1" x14ac:dyDescent="0.35">
      <c r="A1" s="14" t="s">
        <v>32</v>
      </c>
      <c r="C1" t="s">
        <v>31</v>
      </c>
      <c r="D1" t="str" cm="1">
        <f t="array" ref="D1:E1">_xlfn._xlws.FILTER(TRANSPOSE(A2:A21),TRANSPOSE(A2:A21)&lt;&gt;0)</f>
        <v>Cost per Patient-day</v>
      </c>
      <c r="E1" t="str">
        <v>Surgical ALC Days</v>
      </c>
    </row>
    <row r="2" spans="1:24" x14ac:dyDescent="0.3">
      <c r="A2" s="15" t="str" cm="1">
        <f t="array" ref="A2:A3">_xlfn._xlws.FILTER(Selector!E3:E23,Selector!G3:G23=TRUE)</f>
        <v>Cost per Patient-day</v>
      </c>
      <c r="C2" t="str" cm="1">
        <f t="array" ref="C2:C8">_xlfn._xlws.FILTER(_xlfn._xlws.FILTER(_xlfn.VSTACK(_xlfn._xlws.FILTER(Selector!M3:M23,Selector!O3:O23=TRUE,""),_xlfn._xlws.FILTER(Selector!Q3:Q23,Selector!S3:S23=TRUE,"")),_xlfn.VSTACK(_xlfn._xlws.FILTER(Selector!M3:M23,Selector!O3:O23=TRUE,""),_xlfn._xlws.FILTER(Selector!Q3:Q23,Selector!S3:S23=TRUE,""))&lt;&gt;0),_xlfn._xlws.FILTER(_xlfn.VSTACK(_xlfn._xlws.FILTER(Selector!M3:M23,Selector!O3:O23=TRUE,""),_xlfn._xlws.FILTER(Selector!Q3:Q23,Selector!S3:S23=TRUE,"")),_xlfn.VSTACK(_xlfn._xlws.FILTER(Selector!M3:M23,Selector!O3:O23=TRUE,""),_xlfn._xlws.FILTER(Selector!Q3:Q23,Selector!S3:S23=TRUE,""))&lt;&gt;0)&lt;&gt;"")</f>
        <v>AB</v>
      </c>
      <c r="D2" s="21">
        <f>IFERROR(INDEX('ORG-Metrics'!$A$1:$U$38,MATCH($C2,'ORG-Metrics'!$A$1:$A$38,0),MATCH(D$1,'ORG-Metrics'!$1:$1,0)),"")</f>
        <v>1496.5400104391686</v>
      </c>
      <c r="E2" s="21">
        <f>IFERROR(INDEX('ORG-Metrics'!$A$1:$U$38,MATCH($C2,'ORG-Metrics'!$A$1:$A$38,0),MATCH(E$1,'ORG-Metrics'!$1:$1,0)),"")</f>
        <v>5179.1205589007013</v>
      </c>
      <c r="F2" s="21" t="str">
        <f>IFERROR(INDEX('ORG-Metrics'!$A$1:$U$38,MATCH($C2,'ORG-Metrics'!$A$1:$A$38,0),MATCH(F$1,'ORG-Metrics'!$1:$1,0)),"")</f>
        <v/>
      </c>
      <c r="G2" s="21" t="str">
        <f>IFERROR(INDEX('ORG-Metrics'!$A$1:$U$38,MATCH($C2,'ORG-Metrics'!$A$1:$A$38,0),MATCH(G$1,'ORG-Metrics'!$1:$1,0)),"")</f>
        <v/>
      </c>
      <c r="H2" s="21" t="str">
        <f>IFERROR(INDEX('ORG-Metrics'!$A$1:$U$38,MATCH($C2,'ORG-Metrics'!$A$1:$A$38,0),MATCH(H$1,'ORG-Metrics'!$1:$1,0)),"")</f>
        <v/>
      </c>
      <c r="I2" s="21" t="str">
        <f>IFERROR(INDEX('ORG-Metrics'!$A$1:$U$38,MATCH($C2,'ORG-Metrics'!$A$1:$A$38,0),MATCH(I$1,'ORG-Metrics'!$1:$1,0)),"")</f>
        <v/>
      </c>
      <c r="J2" s="21" t="str">
        <f>IFERROR(INDEX('ORG-Metrics'!$A$1:$U$38,MATCH($C2,'ORG-Metrics'!$A$1:$A$38,0),MATCH(J$1,'ORG-Metrics'!$1:$1,0)),"")</f>
        <v/>
      </c>
      <c r="K2" s="21" t="str">
        <f>IFERROR(INDEX('ORG-Metrics'!$A$1:$U$38,MATCH($C2,'ORG-Metrics'!$A$1:$A$38,0),MATCH(K$1,'ORG-Metrics'!$1:$1,0)),"")</f>
        <v/>
      </c>
      <c r="L2" s="21" t="str">
        <f>IFERROR(INDEX('ORG-Metrics'!$A$1:$U$38,MATCH($C2,'ORG-Metrics'!$A$1:$A$38,0),MATCH(L$1,'ORG-Metrics'!$1:$1,0)),"")</f>
        <v/>
      </c>
      <c r="M2" s="21" t="str">
        <f>IFERROR(INDEX('ORG-Metrics'!$A$1:$U$38,MATCH($C2,'ORG-Metrics'!$A$1:$A$38,0),MATCH(M$1,'ORG-Metrics'!$1:$1,0)),"")</f>
        <v/>
      </c>
      <c r="N2" s="21" t="str">
        <f>IFERROR(INDEX('ORG-Metrics'!$A$1:$U$38,MATCH($C2,'ORG-Metrics'!$A$1:$A$38,0),MATCH(N$1,'ORG-Metrics'!$1:$1,0)),"")</f>
        <v/>
      </c>
      <c r="O2" s="21" t="str">
        <f>IFERROR(INDEX('ORG-Metrics'!$A$1:$U$38,MATCH($C2,'ORG-Metrics'!$A$1:$A$38,0),MATCH(O$1,'ORG-Metrics'!$1:$1,0)),"")</f>
        <v/>
      </c>
      <c r="P2" s="21" t="str">
        <f>IFERROR(INDEX('ORG-Metrics'!$A$1:$U$38,MATCH($C2,'ORG-Metrics'!$A$1:$A$38,0),MATCH(P$1,'ORG-Metrics'!$1:$1,0)),"")</f>
        <v/>
      </c>
      <c r="Q2" s="21" t="str">
        <f>IFERROR(INDEX('ORG-Metrics'!$A$1:$U$38,MATCH($C2,'ORG-Metrics'!$A$1:$A$38,0),MATCH(Q$1,'ORG-Metrics'!$1:$1,0)),"")</f>
        <v/>
      </c>
      <c r="R2" s="21" t="str">
        <f>IFERROR(INDEX('ORG-Metrics'!$A$1:$U$38,MATCH($C2,'ORG-Metrics'!$A$1:$A$38,0),MATCH(R$1,'ORG-Metrics'!$1:$1,0)),"")</f>
        <v/>
      </c>
      <c r="S2" s="21" t="str">
        <f>IFERROR(INDEX('ORG-Metrics'!$A$1:$U$38,MATCH($C2,'ORG-Metrics'!$A$1:$A$38,0),MATCH(S$1,'ORG-Metrics'!$1:$1,0)),"")</f>
        <v/>
      </c>
      <c r="T2" s="21" t="str">
        <f>IFERROR(INDEX('ORG-Metrics'!$A$1:$U$38,MATCH($C2,'ORG-Metrics'!$A$1:$A$38,0),MATCH(T$1,'ORG-Metrics'!$1:$1,0)),"")</f>
        <v/>
      </c>
      <c r="U2" s="21" t="str">
        <f>IFERROR(INDEX('ORG-Metrics'!$A$1:$U$38,MATCH($C2,'ORG-Metrics'!$A$1:$A$38,0),MATCH(U$1,'ORG-Metrics'!$1:$1,0)),"")</f>
        <v/>
      </c>
      <c r="V2" t="str">
        <f>IFERROR(INDEX('ORG-Metrics'!$A$1:$U$38,MATCH($C2,'ORG-Metrics'!$A$1:$A$38,0),MATCH(V$1,'ORG-Metrics'!$1:$1,0)),"")</f>
        <v/>
      </c>
      <c r="W2" t="str">
        <f>IFERROR(INDEX('ORG-Metrics'!$A$1:$U$38,MATCH($C2,'ORG-Metrics'!$A$1:$A$38,0),MATCH(W$1,'ORG-Metrics'!$1:$1,0)),"")</f>
        <v/>
      </c>
      <c r="X2" t="str">
        <f>IFERROR(INDEX('ORG-Metrics'!$A$1:$U$38,MATCH($C2,'ORG-Metrics'!$A$1:$A$38,0),MATCH(X$1,'ORG-Metrics'!$1:$1,0)),"")</f>
        <v/>
      </c>
    </row>
    <row r="3" spans="1:24" x14ac:dyDescent="0.3">
      <c r="A3" s="16" t="str">
        <v>Surgical ALC Days</v>
      </c>
      <c r="C3" t="str">
        <v>AJ</v>
      </c>
      <c r="D3" s="21">
        <f>IFERROR(INDEX('ORG-Metrics'!$A$1:$U$38,MATCH($C3,'ORG-Metrics'!$A$1:$A$38,0),MATCH(D$1,'ORG-Metrics'!$1:$1,0)),"")</f>
        <v>1543.130143001342</v>
      </c>
      <c r="E3" s="21">
        <f>IFERROR(INDEX('ORG-Metrics'!$A$1:$U$38,MATCH($C3,'ORG-Metrics'!$A$1:$A$38,0),MATCH(E$1,'ORG-Metrics'!$1:$1,0)),"")</f>
        <v>12067.07794592716</v>
      </c>
      <c r="F3" s="21" t="str">
        <f>IFERROR(INDEX('ORG-Metrics'!$A$1:$U$38,MATCH($C3,'ORG-Metrics'!$A$1:$A$38,0),MATCH(F$1,'ORG-Metrics'!$1:$1,0)),"")</f>
        <v/>
      </c>
      <c r="G3" s="21" t="str">
        <f>IFERROR(INDEX('ORG-Metrics'!$A$1:$U$38,MATCH($C3,'ORG-Metrics'!$A$1:$A$38,0),MATCH(G$1,'ORG-Metrics'!$1:$1,0)),"")</f>
        <v/>
      </c>
      <c r="H3" s="21" t="str">
        <f>IFERROR(INDEX('ORG-Metrics'!$A$1:$U$38,MATCH($C3,'ORG-Metrics'!$A$1:$A$38,0),MATCH(H$1,'ORG-Metrics'!$1:$1,0)),"")</f>
        <v/>
      </c>
      <c r="I3" s="21" t="str">
        <f>IFERROR(INDEX('ORG-Metrics'!$A$1:$U$38,MATCH($C3,'ORG-Metrics'!$A$1:$A$38,0),MATCH(I$1,'ORG-Metrics'!$1:$1,0)),"")</f>
        <v/>
      </c>
      <c r="J3" s="21" t="str">
        <f>IFERROR(INDEX('ORG-Metrics'!$A$1:$U$38,MATCH($C3,'ORG-Metrics'!$A$1:$A$38,0),MATCH(J$1,'ORG-Metrics'!$1:$1,0)),"")</f>
        <v/>
      </c>
      <c r="K3" s="21" t="str">
        <f>IFERROR(INDEX('ORG-Metrics'!$A$1:$U$38,MATCH($C3,'ORG-Metrics'!$A$1:$A$38,0),MATCH(K$1,'ORG-Metrics'!$1:$1,0)),"")</f>
        <v/>
      </c>
      <c r="L3" s="21" t="str">
        <f>IFERROR(INDEX('ORG-Metrics'!$A$1:$U$38,MATCH($C3,'ORG-Metrics'!$A$1:$A$38,0),MATCH(L$1,'ORG-Metrics'!$1:$1,0)),"")</f>
        <v/>
      </c>
      <c r="M3" s="21" t="str">
        <f>IFERROR(INDEX('ORG-Metrics'!$A$1:$U$38,MATCH($C3,'ORG-Metrics'!$A$1:$A$38,0),MATCH(M$1,'ORG-Metrics'!$1:$1,0)),"")</f>
        <v/>
      </c>
      <c r="N3" s="21" t="str">
        <f>IFERROR(INDEX('ORG-Metrics'!$A$1:$U$38,MATCH($C3,'ORG-Metrics'!$A$1:$A$38,0),MATCH(N$1,'ORG-Metrics'!$1:$1,0)),"")</f>
        <v/>
      </c>
      <c r="O3" s="21" t="str">
        <f>IFERROR(INDEX('ORG-Metrics'!$A$1:$U$38,MATCH($C3,'ORG-Metrics'!$A$1:$A$38,0),MATCH(O$1,'ORG-Metrics'!$1:$1,0)),"")</f>
        <v/>
      </c>
      <c r="P3" s="21" t="str">
        <f>IFERROR(INDEX('ORG-Metrics'!$A$1:$U$38,MATCH($C3,'ORG-Metrics'!$A$1:$A$38,0),MATCH(P$1,'ORG-Metrics'!$1:$1,0)),"")</f>
        <v/>
      </c>
      <c r="Q3" s="21" t="str">
        <f>IFERROR(INDEX('ORG-Metrics'!$A$1:$U$38,MATCH($C3,'ORG-Metrics'!$A$1:$A$38,0),MATCH(Q$1,'ORG-Metrics'!$1:$1,0)),"")</f>
        <v/>
      </c>
      <c r="R3" s="21" t="str">
        <f>IFERROR(INDEX('ORG-Metrics'!$A$1:$U$38,MATCH($C3,'ORG-Metrics'!$A$1:$A$38,0),MATCH(R$1,'ORG-Metrics'!$1:$1,0)),"")</f>
        <v/>
      </c>
      <c r="S3" s="21" t="str">
        <f>IFERROR(INDEX('ORG-Metrics'!$A$1:$U$38,MATCH($C3,'ORG-Metrics'!$A$1:$A$38,0),MATCH(S$1,'ORG-Metrics'!$1:$1,0)),"")</f>
        <v/>
      </c>
      <c r="T3" s="21" t="str">
        <f>IFERROR(INDEX('ORG-Metrics'!$A$1:$U$38,MATCH($C3,'ORG-Metrics'!$A$1:$A$38,0),MATCH(T$1,'ORG-Metrics'!$1:$1,0)),"")</f>
        <v/>
      </c>
      <c r="U3" s="21" t="str">
        <f>IFERROR(INDEX('ORG-Metrics'!$A$1:$U$38,MATCH($C3,'ORG-Metrics'!$A$1:$A$38,0),MATCH(U$1,'ORG-Metrics'!$1:$1,0)),"")</f>
        <v/>
      </c>
      <c r="V3" t="str">
        <f>IFERROR(INDEX('ORG-Metrics'!$A$1:$U$38,MATCH($C3,'ORG-Metrics'!$A$1:$A$38,0),MATCH(V$1,'ORG-Metrics'!$1:$1,0)),"")</f>
        <v/>
      </c>
      <c r="W3" t="str">
        <f>IFERROR(INDEX('ORG-Metrics'!$A$1:$U$38,MATCH($C3,'ORG-Metrics'!$A$1:$A$38,0),MATCH(W$1,'ORG-Metrics'!$1:$1,0)),"")</f>
        <v/>
      </c>
    </row>
    <row r="4" spans="1:24" x14ac:dyDescent="0.3">
      <c r="A4" s="17"/>
      <c r="C4" t="str">
        <v>E</v>
      </c>
      <c r="D4" s="21">
        <f>IFERROR(INDEX('ORG-Metrics'!$A$1:$U$38,MATCH($C4,'ORG-Metrics'!$A$1:$A$38,0),MATCH(D$1,'ORG-Metrics'!$1:$1,0)),"")</f>
        <v>1581.9945153048554</v>
      </c>
      <c r="E4" s="21">
        <f>IFERROR(INDEX('ORG-Metrics'!$A$1:$U$38,MATCH($C4,'ORG-Metrics'!$A$1:$A$38,0),MATCH(E$1,'ORG-Metrics'!$1:$1,0)),"")</f>
        <v>12137.941878113284</v>
      </c>
      <c r="F4" s="21" t="str">
        <f>IFERROR(INDEX('ORG-Metrics'!$A$1:$U$38,MATCH($C4,'ORG-Metrics'!$A$1:$A$38,0),MATCH(F$1,'ORG-Metrics'!$1:$1,0)),"")</f>
        <v/>
      </c>
      <c r="G4" s="21" t="str">
        <f>IFERROR(INDEX('ORG-Metrics'!$A$1:$U$38,MATCH($C4,'ORG-Metrics'!$A$1:$A$38,0),MATCH(G$1,'ORG-Metrics'!$1:$1,0)),"")</f>
        <v/>
      </c>
      <c r="H4" s="21" t="str">
        <f>IFERROR(INDEX('ORG-Metrics'!$A$1:$U$38,MATCH($C4,'ORG-Metrics'!$A$1:$A$38,0),MATCH(H$1,'ORG-Metrics'!$1:$1,0)),"")</f>
        <v/>
      </c>
      <c r="I4" s="21" t="str">
        <f>IFERROR(INDEX('ORG-Metrics'!$A$1:$U$38,MATCH($C4,'ORG-Metrics'!$A$1:$A$38,0),MATCH(I$1,'ORG-Metrics'!$1:$1,0)),"")</f>
        <v/>
      </c>
      <c r="J4" s="21" t="str">
        <f>IFERROR(INDEX('ORG-Metrics'!$A$1:$U$38,MATCH($C4,'ORG-Metrics'!$A$1:$A$38,0),MATCH(J$1,'ORG-Metrics'!$1:$1,0)),"")</f>
        <v/>
      </c>
      <c r="K4" s="21" t="str">
        <f>IFERROR(INDEX('ORG-Metrics'!$A$1:$U$38,MATCH($C4,'ORG-Metrics'!$A$1:$A$38,0),MATCH(K$1,'ORG-Metrics'!$1:$1,0)),"")</f>
        <v/>
      </c>
      <c r="L4" s="21" t="str">
        <f>IFERROR(INDEX('ORG-Metrics'!$A$1:$U$38,MATCH($C4,'ORG-Metrics'!$A$1:$A$38,0),MATCH(L$1,'ORG-Metrics'!$1:$1,0)),"")</f>
        <v/>
      </c>
      <c r="M4" s="21" t="str">
        <f>IFERROR(INDEX('ORG-Metrics'!$A$1:$U$38,MATCH($C4,'ORG-Metrics'!$A$1:$A$38,0),MATCH(M$1,'ORG-Metrics'!$1:$1,0)),"")</f>
        <v/>
      </c>
      <c r="N4" s="21" t="str">
        <f>IFERROR(INDEX('ORG-Metrics'!$A$1:$U$38,MATCH($C4,'ORG-Metrics'!$A$1:$A$38,0),MATCH(N$1,'ORG-Metrics'!$1:$1,0)),"")</f>
        <v/>
      </c>
      <c r="O4" s="21" t="str">
        <f>IFERROR(INDEX('ORG-Metrics'!$A$1:$U$38,MATCH($C4,'ORG-Metrics'!$A$1:$A$38,0),MATCH(O$1,'ORG-Metrics'!$1:$1,0)),"")</f>
        <v/>
      </c>
      <c r="P4" s="21" t="str">
        <f>IFERROR(INDEX('ORG-Metrics'!$A$1:$U$38,MATCH($C4,'ORG-Metrics'!$A$1:$A$38,0),MATCH(P$1,'ORG-Metrics'!$1:$1,0)),"")</f>
        <v/>
      </c>
      <c r="Q4" s="21" t="str">
        <f>IFERROR(INDEX('ORG-Metrics'!$A$1:$U$38,MATCH($C4,'ORG-Metrics'!$A$1:$A$38,0),MATCH(Q$1,'ORG-Metrics'!$1:$1,0)),"")</f>
        <v/>
      </c>
      <c r="R4" s="21" t="str">
        <f>IFERROR(INDEX('ORG-Metrics'!$A$1:$U$38,MATCH($C4,'ORG-Metrics'!$A$1:$A$38,0),MATCH(R$1,'ORG-Metrics'!$1:$1,0)),"")</f>
        <v/>
      </c>
      <c r="S4" s="21" t="str">
        <f>IFERROR(INDEX('ORG-Metrics'!$A$1:$U$38,MATCH($C4,'ORG-Metrics'!$A$1:$A$38,0),MATCH(S$1,'ORG-Metrics'!$1:$1,0)),"")</f>
        <v/>
      </c>
      <c r="T4" s="21" t="str">
        <f>IFERROR(INDEX('ORG-Metrics'!$A$1:$U$38,MATCH($C4,'ORG-Metrics'!$A$1:$A$38,0),MATCH(T$1,'ORG-Metrics'!$1:$1,0)),"")</f>
        <v/>
      </c>
      <c r="U4" s="21" t="str">
        <f>IFERROR(INDEX('ORG-Metrics'!$A$1:$U$38,MATCH($C4,'ORG-Metrics'!$A$1:$A$38,0),MATCH(U$1,'ORG-Metrics'!$1:$1,0)),"")</f>
        <v/>
      </c>
      <c r="V4" t="str">
        <f>IFERROR(INDEX('ORG-Metrics'!$A$1:$U$38,MATCH($C4,'ORG-Metrics'!$A$1:$A$38,0),MATCH(V$1,'ORG-Metrics'!$1:$1,0)),"")</f>
        <v/>
      </c>
      <c r="W4" t="str">
        <f>IFERROR(INDEX('ORG-Metrics'!$A$1:$U$38,MATCH($C4,'ORG-Metrics'!$A$1:$A$38,0),MATCH(W$1,'ORG-Metrics'!$1:$1,0)),"")</f>
        <v/>
      </c>
    </row>
    <row r="5" spans="1:24" x14ac:dyDescent="0.3">
      <c r="A5" s="18"/>
      <c r="C5" t="str">
        <v>L</v>
      </c>
      <c r="D5" s="21">
        <f>IFERROR(INDEX('ORG-Metrics'!$A$1:$U$38,MATCH($C5,'ORG-Metrics'!$A$1:$A$38,0),MATCH(D$1,'ORG-Metrics'!$1:$1,0)),"")</f>
        <v>1538.9578651955876</v>
      </c>
      <c r="E5" s="21">
        <f>IFERROR(INDEX('ORG-Metrics'!$A$1:$U$38,MATCH($C5,'ORG-Metrics'!$A$1:$A$38,0),MATCH(E$1,'ORG-Metrics'!$1:$1,0)),"")</f>
        <v>7343.9317476127017</v>
      </c>
      <c r="F5" s="21" t="str">
        <f>IFERROR(INDEX('ORG-Metrics'!$A$1:$U$38,MATCH($C5,'ORG-Metrics'!$A$1:$A$38,0),MATCH(F$1,'ORG-Metrics'!$1:$1,0)),"")</f>
        <v/>
      </c>
      <c r="G5" s="21" t="str">
        <f>IFERROR(INDEX('ORG-Metrics'!$A$1:$U$38,MATCH($C5,'ORG-Metrics'!$A$1:$A$38,0),MATCH(G$1,'ORG-Metrics'!$1:$1,0)),"")</f>
        <v/>
      </c>
      <c r="H5" s="21" t="str">
        <f>IFERROR(INDEX('ORG-Metrics'!$A$1:$U$38,MATCH($C5,'ORG-Metrics'!$A$1:$A$38,0),MATCH(H$1,'ORG-Metrics'!$1:$1,0)),"")</f>
        <v/>
      </c>
      <c r="I5" s="21" t="str">
        <f>IFERROR(INDEX('ORG-Metrics'!$A$1:$U$38,MATCH($C5,'ORG-Metrics'!$A$1:$A$38,0),MATCH(I$1,'ORG-Metrics'!$1:$1,0)),"")</f>
        <v/>
      </c>
      <c r="J5" s="21" t="str">
        <f>IFERROR(INDEX('ORG-Metrics'!$A$1:$U$38,MATCH($C5,'ORG-Metrics'!$A$1:$A$38,0),MATCH(J$1,'ORG-Metrics'!$1:$1,0)),"")</f>
        <v/>
      </c>
      <c r="K5" s="21" t="str">
        <f>IFERROR(INDEX('ORG-Metrics'!$A$1:$U$38,MATCH($C5,'ORG-Metrics'!$A$1:$A$38,0),MATCH(K$1,'ORG-Metrics'!$1:$1,0)),"")</f>
        <v/>
      </c>
      <c r="L5" s="21" t="str">
        <f>IFERROR(INDEX('ORG-Metrics'!$A$1:$U$38,MATCH($C5,'ORG-Metrics'!$A$1:$A$38,0),MATCH(L$1,'ORG-Metrics'!$1:$1,0)),"")</f>
        <v/>
      </c>
      <c r="M5" s="21" t="str">
        <f>IFERROR(INDEX('ORG-Metrics'!$A$1:$U$38,MATCH($C5,'ORG-Metrics'!$A$1:$A$38,0),MATCH(M$1,'ORG-Metrics'!$1:$1,0)),"")</f>
        <v/>
      </c>
      <c r="N5" s="21" t="str">
        <f>IFERROR(INDEX('ORG-Metrics'!$A$1:$U$38,MATCH($C5,'ORG-Metrics'!$A$1:$A$38,0),MATCH(N$1,'ORG-Metrics'!$1:$1,0)),"")</f>
        <v/>
      </c>
      <c r="O5" s="21" t="str">
        <f>IFERROR(INDEX('ORG-Metrics'!$A$1:$U$38,MATCH($C5,'ORG-Metrics'!$A$1:$A$38,0),MATCH(O$1,'ORG-Metrics'!$1:$1,0)),"")</f>
        <v/>
      </c>
      <c r="P5" s="21" t="str">
        <f>IFERROR(INDEX('ORG-Metrics'!$A$1:$U$38,MATCH($C5,'ORG-Metrics'!$A$1:$A$38,0),MATCH(P$1,'ORG-Metrics'!$1:$1,0)),"")</f>
        <v/>
      </c>
      <c r="Q5" s="21" t="str">
        <f>IFERROR(INDEX('ORG-Metrics'!$A$1:$U$38,MATCH($C5,'ORG-Metrics'!$A$1:$A$38,0),MATCH(Q$1,'ORG-Metrics'!$1:$1,0)),"")</f>
        <v/>
      </c>
      <c r="R5" s="21" t="str">
        <f>IFERROR(INDEX('ORG-Metrics'!$A$1:$U$38,MATCH($C5,'ORG-Metrics'!$A$1:$A$38,0),MATCH(R$1,'ORG-Metrics'!$1:$1,0)),"")</f>
        <v/>
      </c>
      <c r="S5" s="21" t="str">
        <f>IFERROR(INDEX('ORG-Metrics'!$A$1:$U$38,MATCH($C5,'ORG-Metrics'!$A$1:$A$38,0),MATCH(S$1,'ORG-Metrics'!$1:$1,0)),"")</f>
        <v/>
      </c>
      <c r="T5" s="21" t="str">
        <f>IFERROR(INDEX('ORG-Metrics'!$A$1:$U$38,MATCH($C5,'ORG-Metrics'!$A$1:$A$38,0),MATCH(T$1,'ORG-Metrics'!$1:$1,0)),"")</f>
        <v/>
      </c>
      <c r="U5" s="21" t="str">
        <f>IFERROR(INDEX('ORG-Metrics'!$A$1:$U$38,MATCH($C5,'ORG-Metrics'!$A$1:$A$38,0),MATCH(U$1,'ORG-Metrics'!$1:$1,0)),"")</f>
        <v/>
      </c>
      <c r="V5" t="str">
        <f>IFERROR(INDEX('ORG-Metrics'!$A$1:$U$38,MATCH($C5,'ORG-Metrics'!$A$1:$A$38,0),MATCH(V$1,'ORG-Metrics'!$1:$1,0)),"")</f>
        <v/>
      </c>
      <c r="W5" t="str">
        <f>IFERROR(INDEX('ORG-Metrics'!$A$1:$U$38,MATCH($C5,'ORG-Metrics'!$A$1:$A$38,0),MATCH(W$1,'ORG-Metrics'!$1:$1,0)),"")</f>
        <v/>
      </c>
    </row>
    <row r="6" spans="1:24" x14ac:dyDescent="0.3">
      <c r="A6" s="18"/>
      <c r="C6" t="str">
        <v>M</v>
      </c>
      <c r="D6" s="21">
        <f>IFERROR(INDEX('ORG-Metrics'!$A$1:$U$38,MATCH($C6,'ORG-Metrics'!$A$1:$A$38,0),MATCH(D$1,'ORG-Metrics'!$1:$1,0)),"")</f>
        <v>1540.0653444097336</v>
      </c>
      <c r="E6" s="21">
        <f>IFERROR(INDEX('ORG-Metrics'!$A$1:$U$38,MATCH($C6,'ORG-Metrics'!$A$1:$A$38,0),MATCH(E$1,'ORG-Metrics'!$1:$1,0)),"")</f>
        <v>4130.4285130653825</v>
      </c>
      <c r="F6" s="21" t="str">
        <f>IFERROR(INDEX('ORG-Metrics'!$A$1:$U$38,MATCH($C6,'ORG-Metrics'!$A$1:$A$38,0),MATCH(F$1,'ORG-Metrics'!$1:$1,0)),"")</f>
        <v/>
      </c>
      <c r="G6" s="21" t="str">
        <f>IFERROR(INDEX('ORG-Metrics'!$A$1:$U$38,MATCH($C6,'ORG-Metrics'!$A$1:$A$38,0),MATCH(G$1,'ORG-Metrics'!$1:$1,0)),"")</f>
        <v/>
      </c>
      <c r="H6" s="21" t="str">
        <f>IFERROR(INDEX('ORG-Metrics'!$A$1:$U$38,MATCH($C6,'ORG-Metrics'!$A$1:$A$38,0),MATCH(H$1,'ORG-Metrics'!$1:$1,0)),"")</f>
        <v/>
      </c>
      <c r="I6" s="21" t="str">
        <f>IFERROR(INDEX('ORG-Metrics'!$A$1:$U$38,MATCH($C6,'ORG-Metrics'!$A$1:$A$38,0),MATCH(I$1,'ORG-Metrics'!$1:$1,0)),"")</f>
        <v/>
      </c>
      <c r="J6" s="21" t="str">
        <f>IFERROR(INDEX('ORG-Metrics'!$A$1:$U$38,MATCH($C6,'ORG-Metrics'!$A$1:$A$38,0),MATCH(J$1,'ORG-Metrics'!$1:$1,0)),"")</f>
        <v/>
      </c>
      <c r="K6" s="21" t="str">
        <f>IFERROR(INDEX('ORG-Metrics'!$A$1:$U$38,MATCH($C6,'ORG-Metrics'!$A$1:$A$38,0),MATCH(K$1,'ORG-Metrics'!$1:$1,0)),"")</f>
        <v/>
      </c>
      <c r="L6" s="21" t="str">
        <f>IFERROR(INDEX('ORG-Metrics'!$A$1:$U$38,MATCH($C6,'ORG-Metrics'!$A$1:$A$38,0),MATCH(L$1,'ORG-Metrics'!$1:$1,0)),"")</f>
        <v/>
      </c>
      <c r="M6" s="21" t="str">
        <f>IFERROR(INDEX('ORG-Metrics'!$A$1:$U$38,MATCH($C6,'ORG-Metrics'!$A$1:$A$38,0),MATCH(M$1,'ORG-Metrics'!$1:$1,0)),"")</f>
        <v/>
      </c>
      <c r="N6" s="21" t="str">
        <f>IFERROR(INDEX('ORG-Metrics'!$A$1:$U$38,MATCH($C6,'ORG-Metrics'!$A$1:$A$38,0),MATCH(N$1,'ORG-Metrics'!$1:$1,0)),"")</f>
        <v/>
      </c>
      <c r="O6" s="21" t="str">
        <f>IFERROR(INDEX('ORG-Metrics'!$A$1:$U$38,MATCH($C6,'ORG-Metrics'!$A$1:$A$38,0),MATCH(O$1,'ORG-Metrics'!$1:$1,0)),"")</f>
        <v/>
      </c>
      <c r="P6" s="21" t="str">
        <f>IFERROR(INDEX('ORG-Metrics'!$A$1:$U$38,MATCH($C6,'ORG-Metrics'!$A$1:$A$38,0),MATCH(P$1,'ORG-Metrics'!$1:$1,0)),"")</f>
        <v/>
      </c>
      <c r="Q6" s="21" t="str">
        <f>IFERROR(INDEX('ORG-Metrics'!$A$1:$U$38,MATCH($C6,'ORG-Metrics'!$A$1:$A$38,0),MATCH(Q$1,'ORG-Metrics'!$1:$1,0)),"")</f>
        <v/>
      </c>
      <c r="R6" s="21" t="str">
        <f>IFERROR(INDEX('ORG-Metrics'!$A$1:$U$38,MATCH($C6,'ORG-Metrics'!$A$1:$A$38,0),MATCH(R$1,'ORG-Metrics'!$1:$1,0)),"")</f>
        <v/>
      </c>
      <c r="S6" s="21" t="str">
        <f>IFERROR(INDEX('ORG-Metrics'!$A$1:$U$38,MATCH($C6,'ORG-Metrics'!$A$1:$A$38,0),MATCH(S$1,'ORG-Metrics'!$1:$1,0)),"")</f>
        <v/>
      </c>
      <c r="T6" s="21" t="str">
        <f>IFERROR(INDEX('ORG-Metrics'!$A$1:$U$38,MATCH($C6,'ORG-Metrics'!$A$1:$A$38,0),MATCH(T$1,'ORG-Metrics'!$1:$1,0)),"")</f>
        <v/>
      </c>
      <c r="U6" s="21" t="str">
        <f>IFERROR(INDEX('ORG-Metrics'!$A$1:$U$38,MATCH($C6,'ORG-Metrics'!$A$1:$A$38,0),MATCH(U$1,'ORG-Metrics'!$1:$1,0)),"")</f>
        <v/>
      </c>
      <c r="V6" t="str">
        <f>IFERROR(INDEX('ORG-Metrics'!$A$1:$U$38,MATCH($C6,'ORG-Metrics'!$A$1:$A$38,0),MATCH(V$1,'ORG-Metrics'!$1:$1,0)),"")</f>
        <v/>
      </c>
      <c r="W6" t="str">
        <f>IFERROR(INDEX('ORG-Metrics'!$A$1:$U$38,MATCH($C6,'ORG-Metrics'!$A$1:$A$38,0),MATCH(W$1,'ORG-Metrics'!$1:$1,0)),"")</f>
        <v/>
      </c>
    </row>
    <row r="7" spans="1:24" x14ac:dyDescent="0.3">
      <c r="A7" s="18"/>
      <c r="C7" t="str">
        <v>Q</v>
      </c>
      <c r="D7" s="21">
        <f>IFERROR(INDEX('ORG-Metrics'!$A$1:$U$38,MATCH($C7,'ORG-Metrics'!$A$1:$A$38,0),MATCH(D$1,'ORG-Metrics'!$1:$1,0)),"")</f>
        <v>1477.0929263948281</v>
      </c>
      <c r="E7" s="21">
        <f>IFERROR(INDEX('ORG-Metrics'!$A$1:$U$38,MATCH($C7,'ORG-Metrics'!$A$1:$A$38,0),MATCH(E$1,'ORG-Metrics'!$1:$1,0)),"")</f>
        <v>11810.666644880419</v>
      </c>
      <c r="F7" s="21" t="str">
        <f>IFERROR(INDEX('ORG-Metrics'!$A$1:$U$38,MATCH($C7,'ORG-Metrics'!$A$1:$A$38,0),MATCH(F$1,'ORG-Metrics'!$1:$1,0)),"")</f>
        <v/>
      </c>
      <c r="G7" s="21" t="str">
        <f>IFERROR(INDEX('ORG-Metrics'!$A$1:$U$38,MATCH($C7,'ORG-Metrics'!$A$1:$A$38,0),MATCH(G$1,'ORG-Metrics'!$1:$1,0)),"")</f>
        <v/>
      </c>
      <c r="H7" s="21" t="str">
        <f>IFERROR(INDEX('ORG-Metrics'!$A$1:$U$38,MATCH($C7,'ORG-Metrics'!$A$1:$A$38,0),MATCH(H$1,'ORG-Metrics'!$1:$1,0)),"")</f>
        <v/>
      </c>
      <c r="I7" s="21" t="str">
        <f>IFERROR(INDEX('ORG-Metrics'!$A$1:$U$38,MATCH($C7,'ORG-Metrics'!$A$1:$A$38,0),MATCH(I$1,'ORG-Metrics'!$1:$1,0)),"")</f>
        <v/>
      </c>
      <c r="J7" s="21" t="str">
        <f>IFERROR(INDEX('ORG-Metrics'!$A$1:$U$38,MATCH($C7,'ORG-Metrics'!$A$1:$A$38,0),MATCH(J$1,'ORG-Metrics'!$1:$1,0)),"")</f>
        <v/>
      </c>
      <c r="K7" s="21" t="str">
        <f>IFERROR(INDEX('ORG-Metrics'!$A$1:$U$38,MATCH($C7,'ORG-Metrics'!$A$1:$A$38,0),MATCH(K$1,'ORG-Metrics'!$1:$1,0)),"")</f>
        <v/>
      </c>
      <c r="L7" s="21" t="str">
        <f>IFERROR(INDEX('ORG-Metrics'!$A$1:$U$38,MATCH($C7,'ORG-Metrics'!$A$1:$A$38,0),MATCH(L$1,'ORG-Metrics'!$1:$1,0)),"")</f>
        <v/>
      </c>
      <c r="M7" s="21" t="str">
        <f>IFERROR(INDEX('ORG-Metrics'!$A$1:$U$38,MATCH($C7,'ORG-Metrics'!$A$1:$A$38,0),MATCH(M$1,'ORG-Metrics'!$1:$1,0)),"")</f>
        <v/>
      </c>
      <c r="N7" s="21" t="str">
        <f>IFERROR(INDEX('ORG-Metrics'!$A$1:$U$38,MATCH($C7,'ORG-Metrics'!$A$1:$A$38,0),MATCH(N$1,'ORG-Metrics'!$1:$1,0)),"")</f>
        <v/>
      </c>
      <c r="O7" s="21" t="str">
        <f>IFERROR(INDEX('ORG-Metrics'!$A$1:$U$38,MATCH($C7,'ORG-Metrics'!$A$1:$A$38,0),MATCH(O$1,'ORG-Metrics'!$1:$1,0)),"")</f>
        <v/>
      </c>
      <c r="P7" s="21" t="str">
        <f>IFERROR(INDEX('ORG-Metrics'!$A$1:$U$38,MATCH($C7,'ORG-Metrics'!$A$1:$A$38,0),MATCH(P$1,'ORG-Metrics'!$1:$1,0)),"")</f>
        <v/>
      </c>
      <c r="Q7" s="21" t="str">
        <f>IFERROR(INDEX('ORG-Metrics'!$A$1:$U$38,MATCH($C7,'ORG-Metrics'!$A$1:$A$38,0),MATCH(Q$1,'ORG-Metrics'!$1:$1,0)),"")</f>
        <v/>
      </c>
      <c r="R7" s="21" t="str">
        <f>IFERROR(INDEX('ORG-Metrics'!$A$1:$U$38,MATCH($C7,'ORG-Metrics'!$A$1:$A$38,0),MATCH(R$1,'ORG-Metrics'!$1:$1,0)),"")</f>
        <v/>
      </c>
      <c r="S7" s="21" t="str">
        <f>IFERROR(INDEX('ORG-Metrics'!$A$1:$U$38,MATCH($C7,'ORG-Metrics'!$A$1:$A$38,0),MATCH(S$1,'ORG-Metrics'!$1:$1,0)),"")</f>
        <v/>
      </c>
      <c r="T7" s="21" t="str">
        <f>IFERROR(INDEX('ORG-Metrics'!$A$1:$U$38,MATCH($C7,'ORG-Metrics'!$A$1:$A$38,0),MATCH(T$1,'ORG-Metrics'!$1:$1,0)),"")</f>
        <v/>
      </c>
      <c r="U7" s="21" t="str">
        <f>IFERROR(INDEX('ORG-Metrics'!$A$1:$U$38,MATCH($C7,'ORG-Metrics'!$A$1:$A$38,0),MATCH(U$1,'ORG-Metrics'!$1:$1,0)),"")</f>
        <v/>
      </c>
      <c r="V7" t="str">
        <f>IFERROR(INDEX('ORG-Metrics'!$A$1:$U$38,MATCH($C7,'ORG-Metrics'!$A$1:$A$38,0),MATCH(V$1,'ORG-Metrics'!$1:$1,0)),"")</f>
        <v/>
      </c>
      <c r="W7" t="str">
        <f>IFERROR(INDEX('ORG-Metrics'!$A$1:$U$38,MATCH($C7,'ORG-Metrics'!$A$1:$A$38,0),MATCH(W$1,'ORG-Metrics'!$1:$1,0)),"")</f>
        <v/>
      </c>
    </row>
    <row r="8" spans="1:24" x14ac:dyDescent="0.3">
      <c r="A8" s="18"/>
      <c r="C8" t="str">
        <v>Z</v>
      </c>
      <c r="D8" s="21">
        <f>IFERROR(INDEX('ORG-Metrics'!$A$1:$U$38,MATCH($C8,'ORG-Metrics'!$A$1:$A$38,0),MATCH(D$1,'ORG-Metrics'!$1:$1,0)),"")</f>
        <v>1476.1021500887864</v>
      </c>
      <c r="E8" s="21">
        <f>IFERROR(INDEX('ORG-Metrics'!$A$1:$U$38,MATCH($C8,'ORG-Metrics'!$A$1:$A$38,0),MATCH(E$1,'ORG-Metrics'!$1:$1,0)),"")</f>
        <v>13562.442801231638</v>
      </c>
      <c r="F8" s="21" t="str">
        <f>IFERROR(INDEX('ORG-Metrics'!$A$1:$U$38,MATCH($C8,'ORG-Metrics'!$A$1:$A$38,0),MATCH(F$1,'ORG-Metrics'!$1:$1,0)),"")</f>
        <v/>
      </c>
      <c r="G8" s="21" t="str">
        <f>IFERROR(INDEX('ORG-Metrics'!$A$1:$U$38,MATCH($C8,'ORG-Metrics'!$A$1:$A$38,0),MATCH(G$1,'ORG-Metrics'!$1:$1,0)),"")</f>
        <v/>
      </c>
      <c r="H8" s="21" t="str">
        <f>IFERROR(INDEX('ORG-Metrics'!$A$1:$U$38,MATCH($C8,'ORG-Metrics'!$A$1:$A$38,0),MATCH(H$1,'ORG-Metrics'!$1:$1,0)),"")</f>
        <v/>
      </c>
      <c r="I8" s="21" t="str">
        <f>IFERROR(INDEX('ORG-Metrics'!$A$1:$U$38,MATCH($C8,'ORG-Metrics'!$A$1:$A$38,0),MATCH(I$1,'ORG-Metrics'!$1:$1,0)),"")</f>
        <v/>
      </c>
      <c r="J8" s="21" t="str">
        <f>IFERROR(INDEX('ORG-Metrics'!$A$1:$U$38,MATCH($C8,'ORG-Metrics'!$A$1:$A$38,0),MATCH(J$1,'ORG-Metrics'!$1:$1,0)),"")</f>
        <v/>
      </c>
      <c r="K8" s="21" t="str">
        <f>IFERROR(INDEX('ORG-Metrics'!$A$1:$U$38,MATCH($C8,'ORG-Metrics'!$A$1:$A$38,0),MATCH(K$1,'ORG-Metrics'!$1:$1,0)),"")</f>
        <v/>
      </c>
      <c r="L8" s="21" t="str">
        <f>IFERROR(INDEX('ORG-Metrics'!$A$1:$U$38,MATCH($C8,'ORG-Metrics'!$A$1:$A$38,0),MATCH(L$1,'ORG-Metrics'!$1:$1,0)),"")</f>
        <v/>
      </c>
      <c r="M8" s="21" t="str">
        <f>IFERROR(INDEX('ORG-Metrics'!$A$1:$U$38,MATCH($C8,'ORG-Metrics'!$A$1:$A$38,0),MATCH(M$1,'ORG-Metrics'!$1:$1,0)),"")</f>
        <v/>
      </c>
      <c r="N8" s="21" t="str">
        <f>IFERROR(INDEX('ORG-Metrics'!$A$1:$U$38,MATCH($C8,'ORG-Metrics'!$A$1:$A$38,0),MATCH(N$1,'ORG-Metrics'!$1:$1,0)),"")</f>
        <v/>
      </c>
      <c r="O8" s="21" t="str">
        <f>IFERROR(INDEX('ORG-Metrics'!$A$1:$U$38,MATCH($C8,'ORG-Metrics'!$A$1:$A$38,0),MATCH(O$1,'ORG-Metrics'!$1:$1,0)),"")</f>
        <v/>
      </c>
      <c r="P8" s="21" t="str">
        <f>IFERROR(INDEX('ORG-Metrics'!$A$1:$U$38,MATCH($C8,'ORG-Metrics'!$A$1:$A$38,0),MATCH(P$1,'ORG-Metrics'!$1:$1,0)),"")</f>
        <v/>
      </c>
      <c r="Q8" s="21" t="str">
        <f>IFERROR(INDEX('ORG-Metrics'!$A$1:$U$38,MATCH($C8,'ORG-Metrics'!$A$1:$A$38,0),MATCH(Q$1,'ORG-Metrics'!$1:$1,0)),"")</f>
        <v/>
      </c>
      <c r="R8" s="21" t="str">
        <f>IFERROR(INDEX('ORG-Metrics'!$A$1:$U$38,MATCH($C8,'ORG-Metrics'!$A$1:$A$38,0),MATCH(R$1,'ORG-Metrics'!$1:$1,0)),"")</f>
        <v/>
      </c>
      <c r="S8" s="21" t="str">
        <f>IFERROR(INDEX('ORG-Metrics'!$A$1:$U$38,MATCH($C8,'ORG-Metrics'!$A$1:$A$38,0),MATCH(S$1,'ORG-Metrics'!$1:$1,0)),"")</f>
        <v/>
      </c>
      <c r="T8" s="21" t="str">
        <f>IFERROR(INDEX('ORG-Metrics'!$A$1:$U$38,MATCH($C8,'ORG-Metrics'!$A$1:$A$38,0),MATCH(T$1,'ORG-Metrics'!$1:$1,0)),"")</f>
        <v/>
      </c>
      <c r="U8" s="21" t="str">
        <f>IFERROR(INDEX('ORG-Metrics'!$A$1:$U$38,MATCH($C8,'ORG-Metrics'!$A$1:$A$38,0),MATCH(U$1,'ORG-Metrics'!$1:$1,0)),"")</f>
        <v/>
      </c>
      <c r="V8" t="str">
        <f>IFERROR(INDEX('ORG-Metrics'!$A$1:$U$38,MATCH($C8,'ORG-Metrics'!$A$1:$A$38,0),MATCH(V$1,'ORG-Metrics'!$1:$1,0)),"")</f>
        <v/>
      </c>
      <c r="W8" t="str">
        <f>IFERROR(INDEX('ORG-Metrics'!$A$1:$U$38,MATCH($C8,'ORG-Metrics'!$A$1:$A$38,0),MATCH(W$1,'ORG-Metrics'!$1:$1,0)),"")</f>
        <v/>
      </c>
    </row>
    <row r="9" spans="1:24" x14ac:dyDescent="0.3">
      <c r="A9" s="18"/>
      <c r="D9" s="21" t="str">
        <f>IFERROR(INDEX('ORG-Metrics'!$A$1:$U$38,MATCH($C9,'ORG-Metrics'!$A$1:$A$38,0),MATCH(D$1,'ORG-Metrics'!$1:$1,0)),"")</f>
        <v/>
      </c>
      <c r="E9" s="21" t="str">
        <f>IFERROR(INDEX('ORG-Metrics'!$A$1:$U$38,MATCH($C9,'ORG-Metrics'!$A$1:$A$38,0),MATCH(E$1,'ORG-Metrics'!$1:$1,0)),"")</f>
        <v/>
      </c>
      <c r="F9" s="21" t="str">
        <f>IFERROR(INDEX('ORG-Metrics'!$A$1:$U$38,MATCH($C9,'ORG-Metrics'!$A$1:$A$38,0),MATCH(F$1,'ORG-Metrics'!$1:$1,0)),"")</f>
        <v/>
      </c>
      <c r="G9" s="21" t="str">
        <f>IFERROR(INDEX('ORG-Metrics'!$A$1:$U$38,MATCH($C9,'ORG-Metrics'!$A$1:$A$38,0),MATCH(G$1,'ORG-Metrics'!$1:$1,0)),"")</f>
        <v/>
      </c>
      <c r="H9" s="21" t="str">
        <f>IFERROR(INDEX('ORG-Metrics'!$A$1:$U$38,MATCH($C9,'ORG-Metrics'!$A$1:$A$38,0),MATCH(H$1,'ORG-Metrics'!$1:$1,0)),"")</f>
        <v/>
      </c>
      <c r="I9" s="21" t="str">
        <f>IFERROR(INDEX('ORG-Metrics'!$A$1:$U$38,MATCH($C9,'ORG-Metrics'!$A$1:$A$38,0),MATCH(I$1,'ORG-Metrics'!$1:$1,0)),"")</f>
        <v/>
      </c>
      <c r="J9" s="21" t="str">
        <f>IFERROR(INDEX('ORG-Metrics'!$A$1:$U$38,MATCH($C9,'ORG-Metrics'!$A$1:$A$38,0),MATCH(J$1,'ORG-Metrics'!$1:$1,0)),"")</f>
        <v/>
      </c>
      <c r="K9" s="21" t="str">
        <f>IFERROR(INDEX('ORG-Metrics'!$A$1:$U$38,MATCH($C9,'ORG-Metrics'!$A$1:$A$38,0),MATCH(K$1,'ORG-Metrics'!$1:$1,0)),"")</f>
        <v/>
      </c>
      <c r="L9" s="21" t="str">
        <f>IFERROR(INDEX('ORG-Metrics'!$A$1:$U$38,MATCH($C9,'ORG-Metrics'!$A$1:$A$38,0),MATCH(L$1,'ORG-Metrics'!$1:$1,0)),"")</f>
        <v/>
      </c>
      <c r="M9" s="21" t="str">
        <f>IFERROR(INDEX('ORG-Metrics'!$A$1:$U$38,MATCH($C9,'ORG-Metrics'!$A$1:$A$38,0),MATCH(M$1,'ORG-Metrics'!$1:$1,0)),"")</f>
        <v/>
      </c>
      <c r="N9" s="21" t="str">
        <f>IFERROR(INDEX('ORG-Metrics'!$A$1:$U$38,MATCH($C9,'ORG-Metrics'!$A$1:$A$38,0),MATCH(N$1,'ORG-Metrics'!$1:$1,0)),"")</f>
        <v/>
      </c>
      <c r="O9" s="21" t="str">
        <f>IFERROR(INDEX('ORG-Metrics'!$A$1:$U$38,MATCH($C9,'ORG-Metrics'!$A$1:$A$38,0),MATCH(O$1,'ORG-Metrics'!$1:$1,0)),"")</f>
        <v/>
      </c>
      <c r="P9" s="21" t="str">
        <f>IFERROR(INDEX('ORG-Metrics'!$A$1:$U$38,MATCH($C9,'ORG-Metrics'!$A$1:$A$38,0),MATCH(P$1,'ORG-Metrics'!$1:$1,0)),"")</f>
        <v/>
      </c>
      <c r="Q9" s="21" t="str">
        <f>IFERROR(INDEX('ORG-Metrics'!$A$1:$U$38,MATCH($C9,'ORG-Metrics'!$A$1:$A$38,0),MATCH(Q$1,'ORG-Metrics'!$1:$1,0)),"")</f>
        <v/>
      </c>
      <c r="R9" s="21" t="str">
        <f>IFERROR(INDEX('ORG-Metrics'!$A$1:$U$38,MATCH($C9,'ORG-Metrics'!$A$1:$A$38,0),MATCH(R$1,'ORG-Metrics'!$1:$1,0)),"")</f>
        <v/>
      </c>
      <c r="S9" s="21" t="str">
        <f>IFERROR(INDEX('ORG-Metrics'!$A$1:$U$38,MATCH($C9,'ORG-Metrics'!$A$1:$A$38,0),MATCH(S$1,'ORG-Metrics'!$1:$1,0)),"")</f>
        <v/>
      </c>
      <c r="T9" s="21" t="str">
        <f>IFERROR(INDEX('ORG-Metrics'!$A$1:$U$38,MATCH($C9,'ORG-Metrics'!$A$1:$A$38,0),MATCH(T$1,'ORG-Metrics'!$1:$1,0)),"")</f>
        <v/>
      </c>
      <c r="U9" s="21" t="str">
        <f>IFERROR(INDEX('ORG-Metrics'!$A$1:$U$38,MATCH($C9,'ORG-Metrics'!$A$1:$A$38,0),MATCH(U$1,'ORG-Metrics'!$1:$1,0)),"")</f>
        <v/>
      </c>
      <c r="V9" t="str">
        <f>IFERROR(INDEX('ORG-Metrics'!$A$1:$U$38,MATCH($C9,'ORG-Metrics'!$A$1:$A$38,0),MATCH(V$1,'ORG-Metrics'!$1:$1,0)),"")</f>
        <v/>
      </c>
      <c r="W9" t="str">
        <f>IFERROR(INDEX('ORG-Metrics'!$A$1:$U$38,MATCH($C9,'ORG-Metrics'!$A$1:$A$38,0),MATCH(W$1,'ORG-Metrics'!$1:$1,0)),"")</f>
        <v/>
      </c>
    </row>
    <row r="10" spans="1:24" x14ac:dyDescent="0.3">
      <c r="A10" s="18"/>
      <c r="D10" s="21" t="str">
        <f>IFERROR(INDEX('ORG-Metrics'!$A$1:$U$38,MATCH($C10,'ORG-Metrics'!$A$1:$A$38,0),MATCH(D$1,'ORG-Metrics'!$1:$1,0)),"")</f>
        <v/>
      </c>
      <c r="E10" s="21" t="str">
        <f>IFERROR(INDEX('ORG-Metrics'!$A$1:$U$38,MATCH($C10,'ORG-Metrics'!$A$1:$A$38,0),MATCH(E$1,'ORG-Metrics'!$1:$1,0)),"")</f>
        <v/>
      </c>
      <c r="F10" s="21" t="str">
        <f>IFERROR(INDEX('ORG-Metrics'!$A$1:$U$38,MATCH($C10,'ORG-Metrics'!$A$1:$A$38,0),MATCH(F$1,'ORG-Metrics'!$1:$1,0)),"")</f>
        <v/>
      </c>
      <c r="G10" s="21" t="str">
        <f>IFERROR(INDEX('ORG-Metrics'!$A$1:$U$38,MATCH($C10,'ORG-Metrics'!$A$1:$A$38,0),MATCH(G$1,'ORG-Metrics'!$1:$1,0)),"")</f>
        <v/>
      </c>
      <c r="H10" s="21" t="str">
        <f>IFERROR(INDEX('ORG-Metrics'!$A$1:$U$38,MATCH($C10,'ORG-Metrics'!$A$1:$A$38,0),MATCH(H$1,'ORG-Metrics'!$1:$1,0)),"")</f>
        <v/>
      </c>
      <c r="I10" s="21" t="str">
        <f>IFERROR(INDEX('ORG-Metrics'!$A$1:$U$38,MATCH($C10,'ORG-Metrics'!$A$1:$A$38,0),MATCH(I$1,'ORG-Metrics'!$1:$1,0)),"")</f>
        <v/>
      </c>
      <c r="J10" s="21" t="str">
        <f>IFERROR(INDEX('ORG-Metrics'!$A$1:$U$38,MATCH($C10,'ORG-Metrics'!$A$1:$A$38,0),MATCH(J$1,'ORG-Metrics'!$1:$1,0)),"")</f>
        <v/>
      </c>
      <c r="K10" s="21" t="str">
        <f>IFERROR(INDEX('ORG-Metrics'!$A$1:$U$38,MATCH($C10,'ORG-Metrics'!$A$1:$A$38,0),MATCH(K$1,'ORG-Metrics'!$1:$1,0)),"")</f>
        <v/>
      </c>
      <c r="L10" s="21" t="str">
        <f>IFERROR(INDEX('ORG-Metrics'!$A$1:$U$38,MATCH($C10,'ORG-Metrics'!$A$1:$A$38,0),MATCH(L$1,'ORG-Metrics'!$1:$1,0)),"")</f>
        <v/>
      </c>
      <c r="M10" s="21" t="str">
        <f>IFERROR(INDEX('ORG-Metrics'!$A$1:$U$38,MATCH($C10,'ORG-Metrics'!$A$1:$A$38,0),MATCH(M$1,'ORG-Metrics'!$1:$1,0)),"")</f>
        <v/>
      </c>
      <c r="N10" s="21" t="str">
        <f>IFERROR(INDEX('ORG-Metrics'!$A$1:$U$38,MATCH($C10,'ORG-Metrics'!$A$1:$A$38,0),MATCH(N$1,'ORG-Metrics'!$1:$1,0)),"")</f>
        <v/>
      </c>
      <c r="O10" s="21" t="str">
        <f>IFERROR(INDEX('ORG-Metrics'!$A$1:$U$38,MATCH($C10,'ORG-Metrics'!$A$1:$A$38,0),MATCH(O$1,'ORG-Metrics'!$1:$1,0)),"")</f>
        <v/>
      </c>
      <c r="P10" s="21" t="str">
        <f>IFERROR(INDEX('ORG-Metrics'!$A$1:$U$38,MATCH($C10,'ORG-Metrics'!$A$1:$A$38,0),MATCH(P$1,'ORG-Metrics'!$1:$1,0)),"")</f>
        <v/>
      </c>
      <c r="Q10" s="21" t="str">
        <f>IFERROR(INDEX('ORG-Metrics'!$A$1:$U$38,MATCH($C10,'ORG-Metrics'!$A$1:$A$38,0),MATCH(Q$1,'ORG-Metrics'!$1:$1,0)),"")</f>
        <v/>
      </c>
      <c r="R10" s="21" t="str">
        <f>IFERROR(INDEX('ORG-Metrics'!$A$1:$U$38,MATCH($C10,'ORG-Metrics'!$A$1:$A$38,0),MATCH(R$1,'ORG-Metrics'!$1:$1,0)),"")</f>
        <v/>
      </c>
      <c r="S10" s="21" t="str">
        <f>IFERROR(INDEX('ORG-Metrics'!$A$1:$U$38,MATCH($C10,'ORG-Metrics'!$A$1:$A$38,0),MATCH(S$1,'ORG-Metrics'!$1:$1,0)),"")</f>
        <v/>
      </c>
      <c r="T10" s="21" t="str">
        <f>IFERROR(INDEX('ORG-Metrics'!$A$1:$U$38,MATCH($C10,'ORG-Metrics'!$A$1:$A$38,0),MATCH(T$1,'ORG-Metrics'!$1:$1,0)),"")</f>
        <v/>
      </c>
      <c r="U10" s="21" t="str">
        <f>IFERROR(INDEX('ORG-Metrics'!$A$1:$U$38,MATCH($C10,'ORG-Metrics'!$A$1:$A$38,0),MATCH(U$1,'ORG-Metrics'!$1:$1,0)),"")</f>
        <v/>
      </c>
      <c r="V10" t="str">
        <f>IFERROR(INDEX('ORG-Metrics'!$A$1:$U$38,MATCH($C10,'ORG-Metrics'!$A$1:$A$38,0),MATCH(V$1,'ORG-Metrics'!$1:$1,0)),"")</f>
        <v/>
      </c>
      <c r="W10" t="str">
        <f>IFERROR(INDEX('ORG-Metrics'!$A$1:$U$38,MATCH($C10,'ORG-Metrics'!$A$1:$A$38,0),MATCH(W$1,'ORG-Metrics'!$1:$1,0)),"")</f>
        <v/>
      </c>
    </row>
    <row r="11" spans="1:24" x14ac:dyDescent="0.3">
      <c r="A11" s="18"/>
      <c r="D11" s="21" t="str">
        <f>IFERROR(INDEX('ORG-Metrics'!$A$1:$U$38,MATCH($C11,'ORG-Metrics'!$A$1:$A$38,0),MATCH(D$1,'ORG-Metrics'!$1:$1,0)),"")</f>
        <v/>
      </c>
      <c r="E11" s="21" t="str">
        <f>IFERROR(INDEX('ORG-Metrics'!$A$1:$U$38,MATCH($C11,'ORG-Metrics'!$A$1:$A$38,0),MATCH(E$1,'ORG-Metrics'!$1:$1,0)),"")</f>
        <v/>
      </c>
      <c r="F11" s="21" t="str">
        <f>IFERROR(INDEX('ORG-Metrics'!$A$1:$U$38,MATCH($C11,'ORG-Metrics'!$A$1:$A$38,0),MATCH(F$1,'ORG-Metrics'!$1:$1,0)),"")</f>
        <v/>
      </c>
      <c r="G11" s="21" t="str">
        <f>IFERROR(INDEX('ORG-Metrics'!$A$1:$U$38,MATCH($C11,'ORG-Metrics'!$A$1:$A$38,0),MATCH(G$1,'ORG-Metrics'!$1:$1,0)),"")</f>
        <v/>
      </c>
      <c r="H11" s="21" t="str">
        <f>IFERROR(INDEX('ORG-Metrics'!$A$1:$U$38,MATCH($C11,'ORG-Metrics'!$A$1:$A$38,0),MATCH(H$1,'ORG-Metrics'!$1:$1,0)),"")</f>
        <v/>
      </c>
      <c r="I11" s="21" t="str">
        <f>IFERROR(INDEX('ORG-Metrics'!$A$1:$U$38,MATCH($C11,'ORG-Metrics'!$A$1:$A$38,0),MATCH(I$1,'ORG-Metrics'!$1:$1,0)),"")</f>
        <v/>
      </c>
      <c r="J11" s="21" t="str">
        <f>IFERROR(INDEX('ORG-Metrics'!$A$1:$U$38,MATCH($C11,'ORG-Metrics'!$A$1:$A$38,0),MATCH(J$1,'ORG-Metrics'!$1:$1,0)),"")</f>
        <v/>
      </c>
      <c r="K11" s="21" t="str">
        <f>IFERROR(INDEX('ORG-Metrics'!$A$1:$U$38,MATCH($C11,'ORG-Metrics'!$A$1:$A$38,0),MATCH(K$1,'ORG-Metrics'!$1:$1,0)),"")</f>
        <v/>
      </c>
      <c r="L11" s="21" t="str">
        <f>IFERROR(INDEX('ORG-Metrics'!$A$1:$U$38,MATCH($C11,'ORG-Metrics'!$A$1:$A$38,0),MATCH(L$1,'ORG-Metrics'!$1:$1,0)),"")</f>
        <v/>
      </c>
      <c r="M11" s="21" t="str">
        <f>IFERROR(INDEX('ORG-Metrics'!$A$1:$U$38,MATCH($C11,'ORG-Metrics'!$A$1:$A$38,0),MATCH(M$1,'ORG-Metrics'!$1:$1,0)),"")</f>
        <v/>
      </c>
      <c r="N11" s="21" t="str">
        <f>IFERROR(INDEX('ORG-Metrics'!$A$1:$U$38,MATCH($C11,'ORG-Metrics'!$A$1:$A$38,0),MATCH(N$1,'ORG-Metrics'!$1:$1,0)),"")</f>
        <v/>
      </c>
      <c r="O11" s="21" t="str">
        <f>IFERROR(INDEX('ORG-Metrics'!$A$1:$U$38,MATCH($C11,'ORG-Metrics'!$A$1:$A$38,0),MATCH(O$1,'ORG-Metrics'!$1:$1,0)),"")</f>
        <v/>
      </c>
      <c r="P11" s="21" t="str">
        <f>IFERROR(INDEX('ORG-Metrics'!$A$1:$U$38,MATCH($C11,'ORG-Metrics'!$A$1:$A$38,0),MATCH(P$1,'ORG-Metrics'!$1:$1,0)),"")</f>
        <v/>
      </c>
      <c r="Q11" s="21" t="str">
        <f>IFERROR(INDEX('ORG-Metrics'!$A$1:$U$38,MATCH($C11,'ORG-Metrics'!$A$1:$A$38,0),MATCH(Q$1,'ORG-Metrics'!$1:$1,0)),"")</f>
        <v/>
      </c>
      <c r="R11" s="21" t="str">
        <f>IFERROR(INDEX('ORG-Metrics'!$A$1:$U$38,MATCH($C11,'ORG-Metrics'!$A$1:$A$38,0),MATCH(R$1,'ORG-Metrics'!$1:$1,0)),"")</f>
        <v/>
      </c>
      <c r="S11" s="21" t="str">
        <f>IFERROR(INDEX('ORG-Metrics'!$A$1:$U$38,MATCH($C11,'ORG-Metrics'!$A$1:$A$38,0),MATCH(S$1,'ORG-Metrics'!$1:$1,0)),"")</f>
        <v/>
      </c>
      <c r="T11" s="21" t="str">
        <f>IFERROR(INDEX('ORG-Metrics'!$A$1:$U$38,MATCH($C11,'ORG-Metrics'!$A$1:$A$38,0),MATCH(T$1,'ORG-Metrics'!$1:$1,0)),"")</f>
        <v/>
      </c>
      <c r="U11" s="21" t="str">
        <f>IFERROR(INDEX('ORG-Metrics'!$A$1:$U$38,MATCH($C11,'ORG-Metrics'!$A$1:$A$38,0),MATCH(U$1,'ORG-Metrics'!$1:$1,0)),"")</f>
        <v/>
      </c>
      <c r="V11" t="str">
        <f>IFERROR(INDEX('ORG-Metrics'!$A$1:$U$38,MATCH($C11,'ORG-Metrics'!$A$1:$A$38,0),MATCH(V$1,'ORG-Metrics'!$1:$1,0)),"")</f>
        <v/>
      </c>
      <c r="W11" t="str">
        <f>IFERROR(INDEX('ORG-Metrics'!$A$1:$U$38,MATCH($C11,'ORG-Metrics'!$A$1:$A$38,0),MATCH(W$1,'ORG-Metrics'!$1:$1,0)),"")</f>
        <v/>
      </c>
    </row>
    <row r="12" spans="1:24" x14ac:dyDescent="0.3">
      <c r="A12" s="18"/>
      <c r="D12" s="21" t="str">
        <f>IFERROR(INDEX('ORG-Metrics'!$A$1:$U$38,MATCH($C12,'ORG-Metrics'!$A$1:$A$38,0),MATCH(D$1,'ORG-Metrics'!$1:$1,0)),"")</f>
        <v/>
      </c>
      <c r="E12" s="21" t="str">
        <f>IFERROR(INDEX('ORG-Metrics'!$A$1:$U$38,MATCH($C12,'ORG-Metrics'!$A$1:$A$38,0),MATCH(E$1,'ORG-Metrics'!$1:$1,0)),"")</f>
        <v/>
      </c>
      <c r="F12" s="21" t="str">
        <f>IFERROR(INDEX('ORG-Metrics'!$A$1:$U$38,MATCH($C12,'ORG-Metrics'!$A$1:$A$38,0),MATCH(F$1,'ORG-Metrics'!$1:$1,0)),"")</f>
        <v/>
      </c>
      <c r="G12" s="21" t="str">
        <f>IFERROR(INDEX('ORG-Metrics'!$A$1:$U$38,MATCH($C12,'ORG-Metrics'!$A$1:$A$38,0),MATCH(G$1,'ORG-Metrics'!$1:$1,0)),"")</f>
        <v/>
      </c>
      <c r="H12" s="21" t="str">
        <f>IFERROR(INDEX('ORG-Metrics'!$A$1:$U$38,MATCH($C12,'ORG-Metrics'!$A$1:$A$38,0),MATCH(H$1,'ORG-Metrics'!$1:$1,0)),"")</f>
        <v/>
      </c>
      <c r="I12" s="21" t="str">
        <f>IFERROR(INDEX('ORG-Metrics'!$A$1:$U$38,MATCH($C12,'ORG-Metrics'!$A$1:$A$38,0),MATCH(I$1,'ORG-Metrics'!$1:$1,0)),"")</f>
        <v/>
      </c>
      <c r="J12" s="21" t="str">
        <f>IFERROR(INDEX('ORG-Metrics'!$A$1:$U$38,MATCH($C12,'ORG-Metrics'!$A$1:$A$38,0),MATCH(J$1,'ORG-Metrics'!$1:$1,0)),"")</f>
        <v/>
      </c>
      <c r="K12" s="21" t="str">
        <f>IFERROR(INDEX('ORG-Metrics'!$A$1:$U$38,MATCH($C12,'ORG-Metrics'!$A$1:$A$38,0),MATCH(K$1,'ORG-Metrics'!$1:$1,0)),"")</f>
        <v/>
      </c>
      <c r="L12" s="21" t="str">
        <f>IFERROR(INDEX('ORG-Metrics'!$A$1:$U$38,MATCH($C12,'ORG-Metrics'!$A$1:$A$38,0),MATCH(L$1,'ORG-Metrics'!$1:$1,0)),"")</f>
        <v/>
      </c>
      <c r="M12" s="21" t="str">
        <f>IFERROR(INDEX('ORG-Metrics'!$A$1:$U$38,MATCH($C12,'ORG-Metrics'!$A$1:$A$38,0),MATCH(M$1,'ORG-Metrics'!$1:$1,0)),"")</f>
        <v/>
      </c>
      <c r="N12" s="21" t="str">
        <f>IFERROR(INDEX('ORG-Metrics'!$A$1:$U$38,MATCH($C12,'ORG-Metrics'!$A$1:$A$38,0),MATCH(N$1,'ORG-Metrics'!$1:$1,0)),"")</f>
        <v/>
      </c>
      <c r="O12" s="21" t="str">
        <f>IFERROR(INDEX('ORG-Metrics'!$A$1:$U$38,MATCH($C12,'ORG-Metrics'!$A$1:$A$38,0),MATCH(O$1,'ORG-Metrics'!$1:$1,0)),"")</f>
        <v/>
      </c>
      <c r="P12" s="21" t="str">
        <f>IFERROR(INDEX('ORG-Metrics'!$A$1:$U$38,MATCH($C12,'ORG-Metrics'!$A$1:$A$38,0),MATCH(P$1,'ORG-Metrics'!$1:$1,0)),"")</f>
        <v/>
      </c>
      <c r="Q12" s="21" t="str">
        <f>IFERROR(INDEX('ORG-Metrics'!$A$1:$U$38,MATCH($C12,'ORG-Metrics'!$A$1:$A$38,0),MATCH(Q$1,'ORG-Metrics'!$1:$1,0)),"")</f>
        <v/>
      </c>
      <c r="R12" s="21" t="str">
        <f>IFERROR(INDEX('ORG-Metrics'!$A$1:$U$38,MATCH($C12,'ORG-Metrics'!$A$1:$A$38,0),MATCH(R$1,'ORG-Metrics'!$1:$1,0)),"")</f>
        <v/>
      </c>
      <c r="S12" s="21" t="str">
        <f>IFERROR(INDEX('ORG-Metrics'!$A$1:$U$38,MATCH($C12,'ORG-Metrics'!$A$1:$A$38,0),MATCH(S$1,'ORG-Metrics'!$1:$1,0)),"")</f>
        <v/>
      </c>
      <c r="T12" s="21" t="str">
        <f>IFERROR(INDEX('ORG-Metrics'!$A$1:$U$38,MATCH($C12,'ORG-Metrics'!$A$1:$A$38,0),MATCH(T$1,'ORG-Metrics'!$1:$1,0)),"")</f>
        <v/>
      </c>
      <c r="U12" s="21" t="str">
        <f>IFERROR(INDEX('ORG-Metrics'!$A$1:$U$38,MATCH($C12,'ORG-Metrics'!$A$1:$A$38,0),MATCH(U$1,'ORG-Metrics'!$1:$1,0)),"")</f>
        <v/>
      </c>
      <c r="V12" t="str">
        <f>IFERROR(INDEX('ORG-Metrics'!$A$1:$U$38,MATCH($C12,'ORG-Metrics'!$A$1:$A$38,0),MATCH(V$1,'ORG-Metrics'!$1:$1,0)),"")</f>
        <v/>
      </c>
      <c r="W12" t="str">
        <f>IFERROR(INDEX('ORG-Metrics'!$A$1:$U$38,MATCH($C12,'ORG-Metrics'!$A$1:$A$38,0),MATCH(W$1,'ORG-Metrics'!$1:$1,0)),"")</f>
        <v/>
      </c>
    </row>
    <row r="13" spans="1:24" x14ac:dyDescent="0.3">
      <c r="A13" s="18"/>
      <c r="D13" s="21" t="str">
        <f>IFERROR(INDEX('ORG-Metrics'!$A$1:$U$38,MATCH($C13,'ORG-Metrics'!$A$1:$A$38,0),MATCH(D$1,'ORG-Metrics'!$1:$1,0)),"")</f>
        <v/>
      </c>
      <c r="E13" s="21" t="str">
        <f>IFERROR(INDEX('ORG-Metrics'!$A$1:$U$38,MATCH($C13,'ORG-Metrics'!$A$1:$A$38,0),MATCH(E$1,'ORG-Metrics'!$1:$1,0)),"")</f>
        <v/>
      </c>
      <c r="F13" s="21" t="str">
        <f>IFERROR(INDEX('ORG-Metrics'!$A$1:$U$38,MATCH($C13,'ORG-Metrics'!$A$1:$A$38,0),MATCH(F$1,'ORG-Metrics'!$1:$1,0)),"")</f>
        <v/>
      </c>
      <c r="G13" s="21" t="str">
        <f>IFERROR(INDEX('ORG-Metrics'!$A$1:$U$38,MATCH($C13,'ORG-Metrics'!$A$1:$A$38,0),MATCH(G$1,'ORG-Metrics'!$1:$1,0)),"")</f>
        <v/>
      </c>
      <c r="H13" s="21" t="str">
        <f>IFERROR(INDEX('ORG-Metrics'!$A$1:$U$38,MATCH($C13,'ORG-Metrics'!$A$1:$A$38,0),MATCH(H$1,'ORG-Metrics'!$1:$1,0)),"")</f>
        <v/>
      </c>
      <c r="I13" s="21" t="str">
        <f>IFERROR(INDEX('ORG-Metrics'!$A$1:$U$38,MATCH($C13,'ORG-Metrics'!$A$1:$A$38,0),MATCH(I$1,'ORG-Metrics'!$1:$1,0)),"")</f>
        <v/>
      </c>
      <c r="J13" s="21" t="str">
        <f>IFERROR(INDEX('ORG-Metrics'!$A$1:$U$38,MATCH($C13,'ORG-Metrics'!$A$1:$A$38,0),MATCH(J$1,'ORG-Metrics'!$1:$1,0)),"")</f>
        <v/>
      </c>
      <c r="K13" s="21" t="str">
        <f>IFERROR(INDEX('ORG-Metrics'!$A$1:$U$38,MATCH($C13,'ORG-Metrics'!$A$1:$A$38,0),MATCH(K$1,'ORG-Metrics'!$1:$1,0)),"")</f>
        <v/>
      </c>
      <c r="L13" s="21" t="str">
        <f>IFERROR(INDEX('ORG-Metrics'!$A$1:$U$38,MATCH($C13,'ORG-Metrics'!$A$1:$A$38,0),MATCH(L$1,'ORG-Metrics'!$1:$1,0)),"")</f>
        <v/>
      </c>
      <c r="M13" s="21" t="str">
        <f>IFERROR(INDEX('ORG-Metrics'!$A$1:$U$38,MATCH($C13,'ORG-Metrics'!$A$1:$A$38,0),MATCH(M$1,'ORG-Metrics'!$1:$1,0)),"")</f>
        <v/>
      </c>
      <c r="N13" s="21" t="str">
        <f>IFERROR(INDEX('ORG-Metrics'!$A$1:$U$38,MATCH($C13,'ORG-Metrics'!$A$1:$A$38,0),MATCH(N$1,'ORG-Metrics'!$1:$1,0)),"")</f>
        <v/>
      </c>
      <c r="O13" s="21" t="str">
        <f>IFERROR(INDEX('ORG-Metrics'!$A$1:$U$38,MATCH($C13,'ORG-Metrics'!$A$1:$A$38,0),MATCH(O$1,'ORG-Metrics'!$1:$1,0)),"")</f>
        <v/>
      </c>
      <c r="P13" s="21" t="str">
        <f>IFERROR(INDEX('ORG-Metrics'!$A$1:$U$38,MATCH($C13,'ORG-Metrics'!$A$1:$A$38,0),MATCH(P$1,'ORG-Metrics'!$1:$1,0)),"")</f>
        <v/>
      </c>
      <c r="Q13" s="21" t="str">
        <f>IFERROR(INDEX('ORG-Metrics'!$A$1:$U$38,MATCH($C13,'ORG-Metrics'!$A$1:$A$38,0),MATCH(Q$1,'ORG-Metrics'!$1:$1,0)),"")</f>
        <v/>
      </c>
      <c r="R13" s="21" t="str">
        <f>IFERROR(INDEX('ORG-Metrics'!$A$1:$U$38,MATCH($C13,'ORG-Metrics'!$A$1:$A$38,0),MATCH(R$1,'ORG-Metrics'!$1:$1,0)),"")</f>
        <v/>
      </c>
      <c r="S13" s="21" t="str">
        <f>IFERROR(INDEX('ORG-Metrics'!$A$1:$U$38,MATCH($C13,'ORG-Metrics'!$A$1:$A$38,0),MATCH(S$1,'ORG-Metrics'!$1:$1,0)),"")</f>
        <v/>
      </c>
      <c r="T13" s="21" t="str">
        <f>IFERROR(INDEX('ORG-Metrics'!$A$1:$U$38,MATCH($C13,'ORG-Metrics'!$A$1:$A$38,0),MATCH(T$1,'ORG-Metrics'!$1:$1,0)),"")</f>
        <v/>
      </c>
      <c r="U13" s="21" t="str">
        <f>IFERROR(INDEX('ORG-Metrics'!$A$1:$U$38,MATCH($C13,'ORG-Metrics'!$A$1:$A$38,0),MATCH(U$1,'ORG-Metrics'!$1:$1,0)),"")</f>
        <v/>
      </c>
      <c r="V13" t="str">
        <f>IFERROR(INDEX('ORG-Metrics'!$A$1:$U$38,MATCH($C13,'ORG-Metrics'!$A$1:$A$38,0),MATCH(V$1,'ORG-Metrics'!$1:$1,0)),"")</f>
        <v/>
      </c>
      <c r="W13" t="str">
        <f>IFERROR(INDEX('ORG-Metrics'!$A$1:$U$38,MATCH($C13,'ORG-Metrics'!$A$1:$A$38,0),MATCH(W$1,'ORG-Metrics'!$1:$1,0)),"")</f>
        <v/>
      </c>
    </row>
    <row r="14" spans="1:24" x14ac:dyDescent="0.3">
      <c r="A14" s="18"/>
      <c r="D14" s="21" t="str">
        <f>IFERROR(INDEX('ORG-Metrics'!$A$1:$U$38,MATCH($C14,'ORG-Metrics'!$A$1:$A$38,0),MATCH(D$1,'ORG-Metrics'!$1:$1,0)),"")</f>
        <v/>
      </c>
      <c r="E14" s="21" t="str">
        <f>IFERROR(INDEX('ORG-Metrics'!$A$1:$U$38,MATCH($C14,'ORG-Metrics'!$A$1:$A$38,0),MATCH(E$1,'ORG-Metrics'!$1:$1,0)),"")</f>
        <v/>
      </c>
      <c r="F14" s="21" t="str">
        <f>IFERROR(INDEX('ORG-Metrics'!$A$1:$U$38,MATCH($C14,'ORG-Metrics'!$A$1:$A$38,0),MATCH(F$1,'ORG-Metrics'!$1:$1,0)),"")</f>
        <v/>
      </c>
      <c r="G14" s="21" t="str">
        <f>IFERROR(INDEX('ORG-Metrics'!$A$1:$U$38,MATCH($C14,'ORG-Metrics'!$A$1:$A$38,0),MATCH(G$1,'ORG-Metrics'!$1:$1,0)),"")</f>
        <v/>
      </c>
      <c r="H14" s="21" t="str">
        <f>IFERROR(INDEX('ORG-Metrics'!$A$1:$U$38,MATCH($C14,'ORG-Metrics'!$A$1:$A$38,0),MATCH(H$1,'ORG-Metrics'!$1:$1,0)),"")</f>
        <v/>
      </c>
      <c r="I14" s="21" t="str">
        <f>IFERROR(INDEX('ORG-Metrics'!$A$1:$U$38,MATCH($C14,'ORG-Metrics'!$A$1:$A$38,0),MATCH(I$1,'ORG-Metrics'!$1:$1,0)),"")</f>
        <v/>
      </c>
      <c r="J14" s="21" t="str">
        <f>IFERROR(INDEX('ORG-Metrics'!$A$1:$U$38,MATCH($C14,'ORG-Metrics'!$A$1:$A$38,0),MATCH(J$1,'ORG-Metrics'!$1:$1,0)),"")</f>
        <v/>
      </c>
      <c r="K14" s="21" t="str">
        <f>IFERROR(INDEX('ORG-Metrics'!$A$1:$U$38,MATCH($C14,'ORG-Metrics'!$A$1:$A$38,0),MATCH(K$1,'ORG-Metrics'!$1:$1,0)),"")</f>
        <v/>
      </c>
      <c r="L14" s="21" t="str">
        <f>IFERROR(INDEX('ORG-Metrics'!$A$1:$U$38,MATCH($C14,'ORG-Metrics'!$A$1:$A$38,0),MATCH(L$1,'ORG-Metrics'!$1:$1,0)),"")</f>
        <v/>
      </c>
      <c r="M14" s="21" t="str">
        <f>IFERROR(INDEX('ORG-Metrics'!$A$1:$U$38,MATCH($C14,'ORG-Metrics'!$A$1:$A$38,0),MATCH(M$1,'ORG-Metrics'!$1:$1,0)),"")</f>
        <v/>
      </c>
      <c r="N14" s="21" t="str">
        <f>IFERROR(INDEX('ORG-Metrics'!$A$1:$U$38,MATCH($C14,'ORG-Metrics'!$A$1:$A$38,0),MATCH(N$1,'ORG-Metrics'!$1:$1,0)),"")</f>
        <v/>
      </c>
      <c r="O14" s="21" t="str">
        <f>IFERROR(INDEX('ORG-Metrics'!$A$1:$U$38,MATCH($C14,'ORG-Metrics'!$A$1:$A$38,0),MATCH(O$1,'ORG-Metrics'!$1:$1,0)),"")</f>
        <v/>
      </c>
      <c r="P14" s="21" t="str">
        <f>IFERROR(INDEX('ORG-Metrics'!$A$1:$U$38,MATCH($C14,'ORG-Metrics'!$A$1:$A$38,0),MATCH(P$1,'ORG-Metrics'!$1:$1,0)),"")</f>
        <v/>
      </c>
      <c r="Q14" s="21" t="str">
        <f>IFERROR(INDEX('ORG-Metrics'!$A$1:$U$38,MATCH($C14,'ORG-Metrics'!$A$1:$A$38,0),MATCH(Q$1,'ORG-Metrics'!$1:$1,0)),"")</f>
        <v/>
      </c>
      <c r="R14" s="21" t="str">
        <f>IFERROR(INDEX('ORG-Metrics'!$A$1:$U$38,MATCH($C14,'ORG-Metrics'!$A$1:$A$38,0),MATCH(R$1,'ORG-Metrics'!$1:$1,0)),"")</f>
        <v/>
      </c>
      <c r="S14" s="21" t="str">
        <f>IFERROR(INDEX('ORG-Metrics'!$A$1:$U$38,MATCH($C14,'ORG-Metrics'!$A$1:$A$38,0),MATCH(S$1,'ORG-Metrics'!$1:$1,0)),"")</f>
        <v/>
      </c>
      <c r="T14" s="21" t="str">
        <f>IFERROR(INDEX('ORG-Metrics'!$A$1:$U$38,MATCH($C14,'ORG-Metrics'!$A$1:$A$38,0),MATCH(T$1,'ORG-Metrics'!$1:$1,0)),"")</f>
        <v/>
      </c>
      <c r="U14" s="21" t="str">
        <f>IFERROR(INDEX('ORG-Metrics'!$A$1:$U$38,MATCH($C14,'ORG-Metrics'!$A$1:$A$38,0),MATCH(U$1,'ORG-Metrics'!$1:$1,0)),"")</f>
        <v/>
      </c>
      <c r="V14" t="str">
        <f>IFERROR(INDEX('ORG-Metrics'!$A$1:$U$38,MATCH($C14,'ORG-Metrics'!$A$1:$A$38,0),MATCH(V$1,'ORG-Metrics'!$1:$1,0)),"")</f>
        <v/>
      </c>
      <c r="W14" t="str">
        <f>IFERROR(INDEX('ORG-Metrics'!$A$1:$U$38,MATCH($C14,'ORG-Metrics'!$A$1:$A$38,0),MATCH(W$1,'ORG-Metrics'!$1:$1,0)),"")</f>
        <v/>
      </c>
    </row>
    <row r="15" spans="1:24" x14ac:dyDescent="0.3">
      <c r="A15" s="18"/>
      <c r="D15" s="21" t="str">
        <f>IFERROR(INDEX('ORG-Metrics'!$A$1:$U$38,MATCH($C15,'ORG-Metrics'!$A$1:$A$38,0),MATCH(D$1,'ORG-Metrics'!$1:$1,0)),"")</f>
        <v/>
      </c>
      <c r="E15" s="21" t="str">
        <f>IFERROR(INDEX('ORG-Metrics'!$A$1:$U$38,MATCH($C15,'ORG-Metrics'!$A$1:$A$38,0),MATCH(E$1,'ORG-Metrics'!$1:$1,0)),"")</f>
        <v/>
      </c>
      <c r="F15" s="21" t="str">
        <f>IFERROR(INDEX('ORG-Metrics'!$A$1:$U$38,MATCH($C15,'ORG-Metrics'!$A$1:$A$38,0),MATCH(F$1,'ORG-Metrics'!$1:$1,0)),"")</f>
        <v/>
      </c>
      <c r="G15" s="21" t="str">
        <f>IFERROR(INDEX('ORG-Metrics'!$A$1:$U$38,MATCH($C15,'ORG-Metrics'!$A$1:$A$38,0),MATCH(G$1,'ORG-Metrics'!$1:$1,0)),"")</f>
        <v/>
      </c>
      <c r="H15" s="21" t="str">
        <f>IFERROR(INDEX('ORG-Metrics'!$A$1:$U$38,MATCH($C15,'ORG-Metrics'!$A$1:$A$38,0),MATCH(H$1,'ORG-Metrics'!$1:$1,0)),"")</f>
        <v/>
      </c>
      <c r="I15" s="21" t="str">
        <f>IFERROR(INDEX('ORG-Metrics'!$A$1:$U$38,MATCH($C15,'ORG-Metrics'!$A$1:$A$38,0),MATCH(I$1,'ORG-Metrics'!$1:$1,0)),"")</f>
        <v/>
      </c>
      <c r="J15" s="21" t="str">
        <f>IFERROR(INDEX('ORG-Metrics'!$A$1:$U$38,MATCH($C15,'ORG-Metrics'!$A$1:$A$38,0),MATCH(J$1,'ORG-Metrics'!$1:$1,0)),"")</f>
        <v/>
      </c>
      <c r="K15" s="21" t="str">
        <f>IFERROR(INDEX('ORG-Metrics'!$A$1:$U$38,MATCH($C15,'ORG-Metrics'!$A$1:$A$38,0),MATCH(K$1,'ORG-Metrics'!$1:$1,0)),"")</f>
        <v/>
      </c>
      <c r="L15" s="21" t="str">
        <f>IFERROR(INDEX('ORG-Metrics'!$A$1:$U$38,MATCH($C15,'ORG-Metrics'!$A$1:$A$38,0),MATCH(L$1,'ORG-Metrics'!$1:$1,0)),"")</f>
        <v/>
      </c>
      <c r="M15" s="21" t="str">
        <f>IFERROR(INDEX('ORG-Metrics'!$A$1:$U$38,MATCH($C15,'ORG-Metrics'!$A$1:$A$38,0),MATCH(M$1,'ORG-Metrics'!$1:$1,0)),"")</f>
        <v/>
      </c>
      <c r="N15" s="21" t="str">
        <f>IFERROR(INDEX('ORG-Metrics'!$A$1:$U$38,MATCH($C15,'ORG-Metrics'!$A$1:$A$38,0),MATCH(N$1,'ORG-Metrics'!$1:$1,0)),"")</f>
        <v/>
      </c>
      <c r="O15" s="21" t="str">
        <f>IFERROR(INDEX('ORG-Metrics'!$A$1:$U$38,MATCH($C15,'ORG-Metrics'!$A$1:$A$38,0),MATCH(O$1,'ORG-Metrics'!$1:$1,0)),"")</f>
        <v/>
      </c>
      <c r="P15" s="21" t="str">
        <f>IFERROR(INDEX('ORG-Metrics'!$A$1:$U$38,MATCH($C15,'ORG-Metrics'!$A$1:$A$38,0),MATCH(P$1,'ORG-Metrics'!$1:$1,0)),"")</f>
        <v/>
      </c>
      <c r="Q15" s="21" t="str">
        <f>IFERROR(INDEX('ORG-Metrics'!$A$1:$U$38,MATCH($C15,'ORG-Metrics'!$A$1:$A$38,0),MATCH(Q$1,'ORG-Metrics'!$1:$1,0)),"")</f>
        <v/>
      </c>
      <c r="R15" s="21" t="str">
        <f>IFERROR(INDEX('ORG-Metrics'!$A$1:$U$38,MATCH($C15,'ORG-Metrics'!$A$1:$A$38,0),MATCH(R$1,'ORG-Metrics'!$1:$1,0)),"")</f>
        <v/>
      </c>
      <c r="S15" s="21" t="str">
        <f>IFERROR(INDEX('ORG-Metrics'!$A$1:$U$38,MATCH($C15,'ORG-Metrics'!$A$1:$A$38,0),MATCH(S$1,'ORG-Metrics'!$1:$1,0)),"")</f>
        <v/>
      </c>
      <c r="T15" s="21" t="str">
        <f>IFERROR(INDEX('ORG-Metrics'!$A$1:$U$38,MATCH($C15,'ORG-Metrics'!$A$1:$A$38,0),MATCH(T$1,'ORG-Metrics'!$1:$1,0)),"")</f>
        <v/>
      </c>
      <c r="U15" s="21" t="str">
        <f>IFERROR(INDEX('ORG-Metrics'!$A$1:$U$38,MATCH($C15,'ORG-Metrics'!$A$1:$A$38,0),MATCH(U$1,'ORG-Metrics'!$1:$1,0)),"")</f>
        <v/>
      </c>
      <c r="V15" t="str">
        <f>IFERROR(INDEX('ORG-Metrics'!$A$1:$U$38,MATCH($C15,'ORG-Metrics'!$A$1:$A$38,0),MATCH(V$1,'ORG-Metrics'!$1:$1,0)),"")</f>
        <v/>
      </c>
      <c r="W15" t="str">
        <f>IFERROR(INDEX('ORG-Metrics'!$A$1:$U$38,MATCH($C15,'ORG-Metrics'!$A$1:$A$38,0),MATCH(W$1,'ORG-Metrics'!$1:$1,0)),"")</f>
        <v/>
      </c>
    </row>
    <row r="16" spans="1:24" x14ac:dyDescent="0.3">
      <c r="A16" s="18"/>
      <c r="D16" s="21" t="str">
        <f>IFERROR(INDEX('ORG-Metrics'!$A$1:$U$38,MATCH($C16,'ORG-Metrics'!$A$1:$A$38,0),MATCH(D$1,'ORG-Metrics'!$1:$1,0)),"")</f>
        <v/>
      </c>
      <c r="E16" s="21" t="str">
        <f>IFERROR(INDEX('ORG-Metrics'!$A$1:$U$38,MATCH($C16,'ORG-Metrics'!$A$1:$A$38,0),MATCH(E$1,'ORG-Metrics'!$1:$1,0)),"")</f>
        <v/>
      </c>
      <c r="F16" s="21" t="str">
        <f>IFERROR(INDEX('ORG-Metrics'!$A$1:$U$38,MATCH($C16,'ORG-Metrics'!$A$1:$A$38,0),MATCH(F$1,'ORG-Metrics'!$1:$1,0)),"")</f>
        <v/>
      </c>
      <c r="G16" s="21" t="str">
        <f>IFERROR(INDEX('ORG-Metrics'!$A$1:$U$38,MATCH($C16,'ORG-Metrics'!$A$1:$A$38,0),MATCH(G$1,'ORG-Metrics'!$1:$1,0)),"")</f>
        <v/>
      </c>
      <c r="H16" s="21" t="str">
        <f>IFERROR(INDEX('ORG-Metrics'!$A$1:$U$38,MATCH($C16,'ORG-Metrics'!$A$1:$A$38,0),MATCH(H$1,'ORG-Metrics'!$1:$1,0)),"")</f>
        <v/>
      </c>
      <c r="I16" s="21" t="str">
        <f>IFERROR(INDEX('ORG-Metrics'!$A$1:$U$38,MATCH($C16,'ORG-Metrics'!$A$1:$A$38,0),MATCH(I$1,'ORG-Metrics'!$1:$1,0)),"")</f>
        <v/>
      </c>
      <c r="J16" s="21" t="str">
        <f>IFERROR(INDEX('ORG-Metrics'!$A$1:$U$38,MATCH($C16,'ORG-Metrics'!$A$1:$A$38,0),MATCH(J$1,'ORG-Metrics'!$1:$1,0)),"")</f>
        <v/>
      </c>
      <c r="K16" s="21" t="str">
        <f>IFERROR(INDEX('ORG-Metrics'!$A$1:$U$38,MATCH($C16,'ORG-Metrics'!$A$1:$A$38,0),MATCH(K$1,'ORG-Metrics'!$1:$1,0)),"")</f>
        <v/>
      </c>
      <c r="L16" s="21" t="str">
        <f>IFERROR(INDEX('ORG-Metrics'!$A$1:$U$38,MATCH($C16,'ORG-Metrics'!$A$1:$A$38,0),MATCH(L$1,'ORG-Metrics'!$1:$1,0)),"")</f>
        <v/>
      </c>
      <c r="M16" s="21" t="str">
        <f>IFERROR(INDEX('ORG-Metrics'!$A$1:$U$38,MATCH($C16,'ORG-Metrics'!$A$1:$A$38,0),MATCH(M$1,'ORG-Metrics'!$1:$1,0)),"")</f>
        <v/>
      </c>
      <c r="N16" s="21" t="str">
        <f>IFERROR(INDEX('ORG-Metrics'!$A$1:$U$38,MATCH($C16,'ORG-Metrics'!$A$1:$A$38,0),MATCH(N$1,'ORG-Metrics'!$1:$1,0)),"")</f>
        <v/>
      </c>
      <c r="O16" s="21" t="str">
        <f>IFERROR(INDEX('ORG-Metrics'!$A$1:$U$38,MATCH($C16,'ORG-Metrics'!$A$1:$A$38,0),MATCH(O$1,'ORG-Metrics'!$1:$1,0)),"")</f>
        <v/>
      </c>
      <c r="P16" s="21" t="str">
        <f>IFERROR(INDEX('ORG-Metrics'!$A$1:$U$38,MATCH($C16,'ORG-Metrics'!$A$1:$A$38,0),MATCH(P$1,'ORG-Metrics'!$1:$1,0)),"")</f>
        <v/>
      </c>
      <c r="Q16" s="21" t="str">
        <f>IFERROR(INDEX('ORG-Metrics'!$A$1:$U$38,MATCH($C16,'ORG-Metrics'!$A$1:$A$38,0),MATCH(Q$1,'ORG-Metrics'!$1:$1,0)),"")</f>
        <v/>
      </c>
      <c r="R16" s="21" t="str">
        <f>IFERROR(INDEX('ORG-Metrics'!$A$1:$U$38,MATCH($C16,'ORG-Metrics'!$A$1:$A$38,0),MATCH(R$1,'ORG-Metrics'!$1:$1,0)),"")</f>
        <v/>
      </c>
      <c r="S16" s="21" t="str">
        <f>IFERROR(INDEX('ORG-Metrics'!$A$1:$U$38,MATCH($C16,'ORG-Metrics'!$A$1:$A$38,0),MATCH(S$1,'ORG-Metrics'!$1:$1,0)),"")</f>
        <v/>
      </c>
      <c r="T16" s="21" t="str">
        <f>IFERROR(INDEX('ORG-Metrics'!$A$1:$U$38,MATCH($C16,'ORG-Metrics'!$A$1:$A$38,0),MATCH(T$1,'ORG-Metrics'!$1:$1,0)),"")</f>
        <v/>
      </c>
      <c r="U16" s="21" t="str">
        <f>IFERROR(INDEX('ORG-Metrics'!$A$1:$U$38,MATCH($C16,'ORG-Metrics'!$A$1:$A$38,0),MATCH(U$1,'ORG-Metrics'!$1:$1,0)),"")</f>
        <v/>
      </c>
      <c r="V16" t="str">
        <f>IFERROR(INDEX('ORG-Metrics'!$A$1:$U$38,MATCH($C16,'ORG-Metrics'!$A$1:$A$38,0),MATCH(V$1,'ORG-Metrics'!$1:$1,0)),"")</f>
        <v/>
      </c>
      <c r="W16" t="str">
        <f>IFERROR(INDEX('ORG-Metrics'!$A$1:$U$38,MATCH($C16,'ORG-Metrics'!$A$1:$A$38,0),MATCH(W$1,'ORG-Metrics'!$1:$1,0)),"")</f>
        <v/>
      </c>
    </row>
    <row r="17" spans="1:23" x14ac:dyDescent="0.3">
      <c r="A17" s="18"/>
      <c r="D17" s="21" t="str">
        <f>IFERROR(INDEX('ORG-Metrics'!$A$1:$U$38,MATCH($C17,'ORG-Metrics'!$A$1:$A$38,0),MATCH(D$1,'ORG-Metrics'!$1:$1,0)),"")</f>
        <v/>
      </c>
      <c r="E17" s="21" t="str">
        <f>IFERROR(INDEX('ORG-Metrics'!$A$1:$U$38,MATCH($C17,'ORG-Metrics'!$A$1:$A$38,0),MATCH(E$1,'ORG-Metrics'!$1:$1,0)),"")</f>
        <v/>
      </c>
      <c r="F17" s="21" t="str">
        <f>IFERROR(INDEX('ORG-Metrics'!$A$1:$U$38,MATCH($C17,'ORG-Metrics'!$A$1:$A$38,0),MATCH(F$1,'ORG-Metrics'!$1:$1,0)),"")</f>
        <v/>
      </c>
      <c r="G17" s="21" t="str">
        <f>IFERROR(INDEX('ORG-Metrics'!$A$1:$U$38,MATCH($C17,'ORG-Metrics'!$A$1:$A$38,0),MATCH(G$1,'ORG-Metrics'!$1:$1,0)),"")</f>
        <v/>
      </c>
      <c r="H17" s="21" t="str">
        <f>IFERROR(INDEX('ORG-Metrics'!$A$1:$U$38,MATCH($C17,'ORG-Metrics'!$A$1:$A$38,0),MATCH(H$1,'ORG-Metrics'!$1:$1,0)),"")</f>
        <v/>
      </c>
      <c r="I17" s="21" t="str">
        <f>IFERROR(INDEX('ORG-Metrics'!$A$1:$U$38,MATCH($C17,'ORG-Metrics'!$A$1:$A$38,0),MATCH(I$1,'ORG-Metrics'!$1:$1,0)),"")</f>
        <v/>
      </c>
      <c r="J17" s="21" t="str">
        <f>IFERROR(INDEX('ORG-Metrics'!$A$1:$U$38,MATCH($C17,'ORG-Metrics'!$A$1:$A$38,0),MATCH(J$1,'ORG-Metrics'!$1:$1,0)),"")</f>
        <v/>
      </c>
      <c r="K17" s="21" t="str">
        <f>IFERROR(INDEX('ORG-Metrics'!$A$1:$U$38,MATCH($C17,'ORG-Metrics'!$A$1:$A$38,0),MATCH(K$1,'ORG-Metrics'!$1:$1,0)),"")</f>
        <v/>
      </c>
      <c r="L17" s="21" t="str">
        <f>IFERROR(INDEX('ORG-Metrics'!$A$1:$U$38,MATCH($C17,'ORG-Metrics'!$A$1:$A$38,0),MATCH(L$1,'ORG-Metrics'!$1:$1,0)),"")</f>
        <v/>
      </c>
      <c r="M17" s="21" t="str">
        <f>IFERROR(INDEX('ORG-Metrics'!$A$1:$U$38,MATCH($C17,'ORG-Metrics'!$A$1:$A$38,0),MATCH(M$1,'ORG-Metrics'!$1:$1,0)),"")</f>
        <v/>
      </c>
      <c r="N17" s="21" t="str">
        <f>IFERROR(INDEX('ORG-Metrics'!$A$1:$U$38,MATCH($C17,'ORG-Metrics'!$A$1:$A$38,0),MATCH(N$1,'ORG-Metrics'!$1:$1,0)),"")</f>
        <v/>
      </c>
      <c r="O17" s="21" t="str">
        <f>IFERROR(INDEX('ORG-Metrics'!$A$1:$U$38,MATCH($C17,'ORG-Metrics'!$A$1:$A$38,0),MATCH(O$1,'ORG-Metrics'!$1:$1,0)),"")</f>
        <v/>
      </c>
      <c r="P17" s="21" t="str">
        <f>IFERROR(INDEX('ORG-Metrics'!$A$1:$U$38,MATCH($C17,'ORG-Metrics'!$A$1:$A$38,0),MATCH(P$1,'ORG-Metrics'!$1:$1,0)),"")</f>
        <v/>
      </c>
      <c r="Q17" s="21" t="str">
        <f>IFERROR(INDEX('ORG-Metrics'!$A$1:$U$38,MATCH($C17,'ORG-Metrics'!$A$1:$A$38,0),MATCH(Q$1,'ORG-Metrics'!$1:$1,0)),"")</f>
        <v/>
      </c>
      <c r="R17" s="21" t="str">
        <f>IFERROR(INDEX('ORG-Metrics'!$A$1:$U$38,MATCH($C17,'ORG-Metrics'!$A$1:$A$38,0),MATCH(R$1,'ORG-Metrics'!$1:$1,0)),"")</f>
        <v/>
      </c>
      <c r="S17" s="21" t="str">
        <f>IFERROR(INDEX('ORG-Metrics'!$A$1:$U$38,MATCH($C17,'ORG-Metrics'!$A$1:$A$38,0),MATCH(S$1,'ORG-Metrics'!$1:$1,0)),"")</f>
        <v/>
      </c>
      <c r="T17" s="21" t="str">
        <f>IFERROR(INDEX('ORG-Metrics'!$A$1:$U$38,MATCH($C17,'ORG-Metrics'!$A$1:$A$38,0),MATCH(T$1,'ORG-Metrics'!$1:$1,0)),"")</f>
        <v/>
      </c>
      <c r="U17" s="21" t="str">
        <f>IFERROR(INDEX('ORG-Metrics'!$A$1:$U$38,MATCH($C17,'ORG-Metrics'!$A$1:$A$38,0),MATCH(U$1,'ORG-Metrics'!$1:$1,0)),"")</f>
        <v/>
      </c>
      <c r="V17" t="str">
        <f>IFERROR(INDEX('ORG-Metrics'!$A$1:$U$38,MATCH($C17,'ORG-Metrics'!$A$1:$A$38,0),MATCH(V$1,'ORG-Metrics'!$1:$1,0)),"")</f>
        <v/>
      </c>
      <c r="W17" t="str">
        <f>IFERROR(INDEX('ORG-Metrics'!$A$1:$U$38,MATCH($C17,'ORG-Metrics'!$A$1:$A$38,0),MATCH(W$1,'ORG-Metrics'!$1:$1,0)),"")</f>
        <v/>
      </c>
    </row>
    <row r="18" spans="1:23" x14ac:dyDescent="0.3">
      <c r="A18" s="18"/>
      <c r="D18" s="21" t="str">
        <f>IFERROR(INDEX('ORG-Metrics'!$A$1:$U$38,MATCH($C18,'ORG-Metrics'!$A$1:$A$38,0),MATCH(D$1,'ORG-Metrics'!$1:$1,0)),"")</f>
        <v/>
      </c>
      <c r="E18" s="21" t="str">
        <f>IFERROR(INDEX('ORG-Metrics'!$A$1:$U$38,MATCH($C18,'ORG-Metrics'!$A$1:$A$38,0),MATCH(E$1,'ORG-Metrics'!$1:$1,0)),"")</f>
        <v/>
      </c>
      <c r="F18" s="21" t="str">
        <f>IFERROR(INDEX('ORG-Metrics'!$A$1:$U$38,MATCH($C18,'ORG-Metrics'!$A$1:$A$38,0),MATCH(F$1,'ORG-Metrics'!$1:$1,0)),"")</f>
        <v/>
      </c>
      <c r="G18" s="21" t="str">
        <f>IFERROR(INDEX('ORG-Metrics'!$A$1:$U$38,MATCH($C18,'ORG-Metrics'!$A$1:$A$38,0),MATCH(G$1,'ORG-Metrics'!$1:$1,0)),"")</f>
        <v/>
      </c>
      <c r="H18" s="21" t="str">
        <f>IFERROR(INDEX('ORG-Metrics'!$A$1:$U$38,MATCH($C18,'ORG-Metrics'!$A$1:$A$38,0),MATCH(H$1,'ORG-Metrics'!$1:$1,0)),"")</f>
        <v/>
      </c>
      <c r="I18" s="21" t="str">
        <f>IFERROR(INDEX('ORG-Metrics'!$A$1:$U$38,MATCH($C18,'ORG-Metrics'!$A$1:$A$38,0),MATCH(I$1,'ORG-Metrics'!$1:$1,0)),"")</f>
        <v/>
      </c>
      <c r="J18" s="21" t="str">
        <f>IFERROR(INDEX('ORG-Metrics'!$A$1:$U$38,MATCH($C18,'ORG-Metrics'!$A$1:$A$38,0),MATCH(J$1,'ORG-Metrics'!$1:$1,0)),"")</f>
        <v/>
      </c>
      <c r="K18" s="21" t="str">
        <f>IFERROR(INDEX('ORG-Metrics'!$A$1:$U$38,MATCH($C18,'ORG-Metrics'!$A$1:$A$38,0),MATCH(K$1,'ORG-Metrics'!$1:$1,0)),"")</f>
        <v/>
      </c>
      <c r="L18" s="21" t="str">
        <f>IFERROR(INDEX('ORG-Metrics'!$A$1:$U$38,MATCH($C18,'ORG-Metrics'!$A$1:$A$38,0),MATCH(L$1,'ORG-Metrics'!$1:$1,0)),"")</f>
        <v/>
      </c>
      <c r="M18" s="21" t="str">
        <f>IFERROR(INDEX('ORG-Metrics'!$A$1:$U$38,MATCH($C18,'ORG-Metrics'!$A$1:$A$38,0),MATCH(M$1,'ORG-Metrics'!$1:$1,0)),"")</f>
        <v/>
      </c>
      <c r="N18" s="21" t="str">
        <f>IFERROR(INDEX('ORG-Metrics'!$A$1:$U$38,MATCH($C18,'ORG-Metrics'!$A$1:$A$38,0),MATCH(N$1,'ORG-Metrics'!$1:$1,0)),"")</f>
        <v/>
      </c>
      <c r="O18" s="21" t="str">
        <f>IFERROR(INDEX('ORG-Metrics'!$A$1:$U$38,MATCH($C18,'ORG-Metrics'!$A$1:$A$38,0),MATCH(O$1,'ORG-Metrics'!$1:$1,0)),"")</f>
        <v/>
      </c>
      <c r="P18" s="21" t="str">
        <f>IFERROR(INDEX('ORG-Metrics'!$A$1:$U$38,MATCH($C18,'ORG-Metrics'!$A$1:$A$38,0),MATCH(P$1,'ORG-Metrics'!$1:$1,0)),"")</f>
        <v/>
      </c>
      <c r="Q18" s="21" t="str">
        <f>IFERROR(INDEX('ORG-Metrics'!$A$1:$U$38,MATCH($C18,'ORG-Metrics'!$A$1:$A$38,0),MATCH(Q$1,'ORG-Metrics'!$1:$1,0)),"")</f>
        <v/>
      </c>
      <c r="R18" s="21" t="str">
        <f>IFERROR(INDEX('ORG-Metrics'!$A$1:$U$38,MATCH($C18,'ORG-Metrics'!$A$1:$A$38,0),MATCH(R$1,'ORG-Metrics'!$1:$1,0)),"")</f>
        <v/>
      </c>
      <c r="S18" s="21" t="str">
        <f>IFERROR(INDEX('ORG-Metrics'!$A$1:$U$38,MATCH($C18,'ORG-Metrics'!$A$1:$A$38,0),MATCH(S$1,'ORG-Metrics'!$1:$1,0)),"")</f>
        <v/>
      </c>
      <c r="T18" s="21" t="str">
        <f>IFERROR(INDEX('ORG-Metrics'!$A$1:$U$38,MATCH($C18,'ORG-Metrics'!$A$1:$A$38,0),MATCH(T$1,'ORG-Metrics'!$1:$1,0)),"")</f>
        <v/>
      </c>
      <c r="U18" s="21" t="str">
        <f>IFERROR(INDEX('ORG-Metrics'!$A$1:$U$38,MATCH($C18,'ORG-Metrics'!$A$1:$A$38,0),MATCH(U$1,'ORG-Metrics'!$1:$1,0)),"")</f>
        <v/>
      </c>
      <c r="V18" t="str">
        <f>IFERROR(INDEX('ORG-Metrics'!$A$1:$U$38,MATCH($C18,'ORG-Metrics'!$A$1:$A$38,0),MATCH(V$1,'ORG-Metrics'!$1:$1,0)),"")</f>
        <v/>
      </c>
      <c r="W18" t="str">
        <f>IFERROR(INDEX('ORG-Metrics'!$A$1:$U$38,MATCH($C18,'ORG-Metrics'!$A$1:$A$38,0),MATCH(W$1,'ORG-Metrics'!$1:$1,0)),"")</f>
        <v/>
      </c>
    </row>
    <row r="19" spans="1:23" x14ac:dyDescent="0.3">
      <c r="A19" s="18"/>
      <c r="D19" s="21" t="str">
        <f>IFERROR(INDEX('ORG-Metrics'!$A$1:$U$38,MATCH($C19,'ORG-Metrics'!$A$1:$A$38,0),MATCH(D$1,'ORG-Metrics'!$1:$1,0)),"")</f>
        <v/>
      </c>
      <c r="E19" s="21" t="str">
        <f>IFERROR(INDEX('ORG-Metrics'!$A$1:$U$38,MATCH($C19,'ORG-Metrics'!$A$1:$A$38,0),MATCH(E$1,'ORG-Metrics'!$1:$1,0)),"")</f>
        <v/>
      </c>
      <c r="F19" s="21" t="str">
        <f>IFERROR(INDEX('ORG-Metrics'!$A$1:$U$38,MATCH($C19,'ORG-Metrics'!$A$1:$A$38,0),MATCH(F$1,'ORG-Metrics'!$1:$1,0)),"")</f>
        <v/>
      </c>
      <c r="G19" s="21" t="str">
        <f>IFERROR(INDEX('ORG-Metrics'!$A$1:$U$38,MATCH($C19,'ORG-Metrics'!$A$1:$A$38,0),MATCH(G$1,'ORG-Metrics'!$1:$1,0)),"")</f>
        <v/>
      </c>
      <c r="H19" s="21" t="str">
        <f>IFERROR(INDEX('ORG-Metrics'!$A$1:$U$38,MATCH($C19,'ORG-Metrics'!$A$1:$A$38,0),MATCH(H$1,'ORG-Metrics'!$1:$1,0)),"")</f>
        <v/>
      </c>
      <c r="I19" s="21" t="str">
        <f>IFERROR(INDEX('ORG-Metrics'!$A$1:$U$38,MATCH($C19,'ORG-Metrics'!$A$1:$A$38,0),MATCH(I$1,'ORG-Metrics'!$1:$1,0)),"")</f>
        <v/>
      </c>
      <c r="J19" s="21" t="str">
        <f>IFERROR(INDEX('ORG-Metrics'!$A$1:$U$38,MATCH($C19,'ORG-Metrics'!$A$1:$A$38,0),MATCH(J$1,'ORG-Metrics'!$1:$1,0)),"")</f>
        <v/>
      </c>
      <c r="K19" s="21" t="str">
        <f>IFERROR(INDEX('ORG-Metrics'!$A$1:$U$38,MATCH($C19,'ORG-Metrics'!$A$1:$A$38,0),MATCH(K$1,'ORG-Metrics'!$1:$1,0)),"")</f>
        <v/>
      </c>
      <c r="L19" s="21" t="str">
        <f>IFERROR(INDEX('ORG-Metrics'!$A$1:$U$38,MATCH($C19,'ORG-Metrics'!$A$1:$A$38,0),MATCH(L$1,'ORG-Metrics'!$1:$1,0)),"")</f>
        <v/>
      </c>
      <c r="M19" s="21" t="str">
        <f>IFERROR(INDEX('ORG-Metrics'!$A$1:$U$38,MATCH($C19,'ORG-Metrics'!$A$1:$A$38,0),MATCH(M$1,'ORG-Metrics'!$1:$1,0)),"")</f>
        <v/>
      </c>
      <c r="N19" s="21" t="str">
        <f>IFERROR(INDEX('ORG-Metrics'!$A$1:$U$38,MATCH($C19,'ORG-Metrics'!$A$1:$A$38,0),MATCH(N$1,'ORG-Metrics'!$1:$1,0)),"")</f>
        <v/>
      </c>
      <c r="O19" s="21" t="str">
        <f>IFERROR(INDEX('ORG-Metrics'!$A$1:$U$38,MATCH($C19,'ORG-Metrics'!$A$1:$A$38,0),MATCH(O$1,'ORG-Metrics'!$1:$1,0)),"")</f>
        <v/>
      </c>
      <c r="P19" s="21" t="str">
        <f>IFERROR(INDEX('ORG-Metrics'!$A$1:$U$38,MATCH($C19,'ORG-Metrics'!$A$1:$A$38,0),MATCH(P$1,'ORG-Metrics'!$1:$1,0)),"")</f>
        <v/>
      </c>
      <c r="Q19" s="21" t="str">
        <f>IFERROR(INDEX('ORG-Metrics'!$A$1:$U$38,MATCH($C19,'ORG-Metrics'!$A$1:$A$38,0),MATCH(Q$1,'ORG-Metrics'!$1:$1,0)),"")</f>
        <v/>
      </c>
      <c r="R19" s="21" t="str">
        <f>IFERROR(INDEX('ORG-Metrics'!$A$1:$U$38,MATCH($C19,'ORG-Metrics'!$A$1:$A$38,0),MATCH(R$1,'ORG-Metrics'!$1:$1,0)),"")</f>
        <v/>
      </c>
      <c r="S19" s="21" t="str">
        <f>IFERROR(INDEX('ORG-Metrics'!$A$1:$U$38,MATCH($C19,'ORG-Metrics'!$A$1:$A$38,0),MATCH(S$1,'ORG-Metrics'!$1:$1,0)),"")</f>
        <v/>
      </c>
      <c r="T19" s="21" t="str">
        <f>IFERROR(INDEX('ORG-Metrics'!$A$1:$U$38,MATCH($C19,'ORG-Metrics'!$A$1:$A$38,0),MATCH(T$1,'ORG-Metrics'!$1:$1,0)),"")</f>
        <v/>
      </c>
      <c r="U19" s="21" t="str">
        <f>IFERROR(INDEX('ORG-Metrics'!$A$1:$U$38,MATCH($C19,'ORG-Metrics'!$A$1:$A$38,0),MATCH(U$1,'ORG-Metrics'!$1:$1,0)),"")</f>
        <v/>
      </c>
      <c r="V19" t="str">
        <f>IFERROR(INDEX('ORG-Metrics'!$A$1:$U$38,MATCH($C19,'ORG-Metrics'!$A$1:$A$38,0),MATCH(V$1,'ORG-Metrics'!$1:$1,0)),"")</f>
        <v/>
      </c>
      <c r="W19" t="str">
        <f>IFERROR(INDEX('ORG-Metrics'!$A$1:$U$38,MATCH($C19,'ORG-Metrics'!$A$1:$A$38,0),MATCH(W$1,'ORG-Metrics'!$1:$1,0)),"")</f>
        <v/>
      </c>
    </row>
    <row r="20" spans="1:23" x14ac:dyDescent="0.3">
      <c r="A20" s="18"/>
      <c r="D20" s="21" t="str">
        <f>IFERROR(INDEX('ORG-Metrics'!$A$1:$U$38,MATCH($C20,'ORG-Metrics'!$A$1:$A$38,0),MATCH(D$1,'ORG-Metrics'!$1:$1,0)),"")</f>
        <v/>
      </c>
      <c r="E20" s="21" t="str">
        <f>IFERROR(INDEX('ORG-Metrics'!$A$1:$U$38,MATCH($C20,'ORG-Metrics'!$A$1:$A$38,0),MATCH(E$1,'ORG-Metrics'!$1:$1,0)),"")</f>
        <v/>
      </c>
      <c r="F20" s="21" t="str">
        <f>IFERROR(INDEX('ORG-Metrics'!$A$1:$U$38,MATCH($C20,'ORG-Metrics'!$A$1:$A$38,0),MATCH(F$1,'ORG-Metrics'!$1:$1,0)),"")</f>
        <v/>
      </c>
      <c r="G20" s="21" t="str">
        <f>IFERROR(INDEX('ORG-Metrics'!$A$1:$U$38,MATCH($C20,'ORG-Metrics'!$A$1:$A$38,0),MATCH(G$1,'ORG-Metrics'!$1:$1,0)),"")</f>
        <v/>
      </c>
      <c r="H20" s="21" t="str">
        <f>IFERROR(INDEX('ORG-Metrics'!$A$1:$U$38,MATCH($C20,'ORG-Metrics'!$A$1:$A$38,0),MATCH(H$1,'ORG-Metrics'!$1:$1,0)),"")</f>
        <v/>
      </c>
      <c r="I20" s="21" t="str">
        <f>IFERROR(INDEX('ORG-Metrics'!$A$1:$U$38,MATCH($C20,'ORG-Metrics'!$A$1:$A$38,0),MATCH(I$1,'ORG-Metrics'!$1:$1,0)),"")</f>
        <v/>
      </c>
      <c r="J20" s="21" t="str">
        <f>IFERROR(INDEX('ORG-Metrics'!$A$1:$U$38,MATCH($C20,'ORG-Metrics'!$A$1:$A$38,0),MATCH(J$1,'ORG-Metrics'!$1:$1,0)),"")</f>
        <v/>
      </c>
      <c r="K20" s="21" t="str">
        <f>IFERROR(INDEX('ORG-Metrics'!$A$1:$U$38,MATCH($C20,'ORG-Metrics'!$A$1:$A$38,0),MATCH(K$1,'ORG-Metrics'!$1:$1,0)),"")</f>
        <v/>
      </c>
      <c r="L20" s="21" t="str">
        <f>IFERROR(INDEX('ORG-Metrics'!$A$1:$U$38,MATCH($C20,'ORG-Metrics'!$A$1:$A$38,0),MATCH(L$1,'ORG-Metrics'!$1:$1,0)),"")</f>
        <v/>
      </c>
      <c r="M20" s="21" t="str">
        <f>IFERROR(INDEX('ORG-Metrics'!$A$1:$U$38,MATCH($C20,'ORG-Metrics'!$A$1:$A$38,0),MATCH(M$1,'ORG-Metrics'!$1:$1,0)),"")</f>
        <v/>
      </c>
      <c r="N20" s="21" t="str">
        <f>IFERROR(INDEX('ORG-Metrics'!$A$1:$U$38,MATCH($C20,'ORG-Metrics'!$A$1:$A$38,0),MATCH(N$1,'ORG-Metrics'!$1:$1,0)),"")</f>
        <v/>
      </c>
      <c r="O20" s="21" t="str">
        <f>IFERROR(INDEX('ORG-Metrics'!$A$1:$U$38,MATCH($C20,'ORG-Metrics'!$A$1:$A$38,0),MATCH(O$1,'ORG-Metrics'!$1:$1,0)),"")</f>
        <v/>
      </c>
      <c r="P20" s="21" t="str">
        <f>IFERROR(INDEX('ORG-Metrics'!$A$1:$U$38,MATCH($C20,'ORG-Metrics'!$A$1:$A$38,0),MATCH(P$1,'ORG-Metrics'!$1:$1,0)),"")</f>
        <v/>
      </c>
      <c r="Q20" s="21" t="str">
        <f>IFERROR(INDEX('ORG-Metrics'!$A$1:$U$38,MATCH($C20,'ORG-Metrics'!$A$1:$A$38,0),MATCH(Q$1,'ORG-Metrics'!$1:$1,0)),"")</f>
        <v/>
      </c>
      <c r="R20" s="21" t="str">
        <f>IFERROR(INDEX('ORG-Metrics'!$A$1:$U$38,MATCH($C20,'ORG-Metrics'!$A$1:$A$38,0),MATCH(R$1,'ORG-Metrics'!$1:$1,0)),"")</f>
        <v/>
      </c>
      <c r="S20" s="21" t="str">
        <f>IFERROR(INDEX('ORG-Metrics'!$A$1:$U$38,MATCH($C20,'ORG-Metrics'!$A$1:$A$38,0),MATCH(S$1,'ORG-Metrics'!$1:$1,0)),"")</f>
        <v/>
      </c>
      <c r="T20" s="21" t="str">
        <f>IFERROR(INDEX('ORG-Metrics'!$A$1:$U$38,MATCH($C20,'ORG-Metrics'!$A$1:$A$38,0),MATCH(T$1,'ORG-Metrics'!$1:$1,0)),"")</f>
        <v/>
      </c>
      <c r="U20" s="21" t="str">
        <f>IFERROR(INDEX('ORG-Metrics'!$A$1:$U$38,MATCH($C20,'ORG-Metrics'!$A$1:$A$38,0),MATCH(U$1,'ORG-Metrics'!$1:$1,0)),"")</f>
        <v/>
      </c>
      <c r="V20" t="str">
        <f>IFERROR(INDEX('ORG-Metrics'!$A$1:$U$38,MATCH($C20,'ORG-Metrics'!$A$1:$A$38,0),MATCH(V$1,'ORG-Metrics'!$1:$1,0)),"")</f>
        <v/>
      </c>
      <c r="W20" t="str">
        <f>IFERROR(INDEX('ORG-Metrics'!$A$1:$U$38,MATCH($C20,'ORG-Metrics'!$A$1:$A$38,0),MATCH(W$1,'ORG-Metrics'!$1:$1,0)),"")</f>
        <v/>
      </c>
    </row>
    <row r="21" spans="1:23" ht="16.2" thickBot="1" x14ac:dyDescent="0.35">
      <c r="A21" s="19"/>
      <c r="D21" s="21" t="str">
        <f>IFERROR(INDEX('ORG-Metrics'!$A$1:$U$38,MATCH($C21,'ORG-Metrics'!$A$1:$A$38,0),MATCH(D$1,'ORG-Metrics'!$1:$1,0)),"")</f>
        <v/>
      </c>
      <c r="E21" s="21" t="str">
        <f>IFERROR(INDEX('ORG-Metrics'!$A$1:$U$38,MATCH($C21,'ORG-Metrics'!$A$1:$A$38,0),MATCH(E$1,'ORG-Metrics'!$1:$1,0)),"")</f>
        <v/>
      </c>
      <c r="F21" s="21" t="str">
        <f>IFERROR(INDEX('ORG-Metrics'!$A$1:$U$38,MATCH($C21,'ORG-Metrics'!$A$1:$A$38,0),MATCH(F$1,'ORG-Metrics'!$1:$1,0)),"")</f>
        <v/>
      </c>
      <c r="G21" s="21" t="str">
        <f>IFERROR(INDEX('ORG-Metrics'!$A$1:$U$38,MATCH($C21,'ORG-Metrics'!$A$1:$A$38,0),MATCH(G$1,'ORG-Metrics'!$1:$1,0)),"")</f>
        <v/>
      </c>
      <c r="H21" s="21" t="str">
        <f>IFERROR(INDEX('ORG-Metrics'!$A$1:$U$38,MATCH($C21,'ORG-Metrics'!$A$1:$A$38,0),MATCH(H$1,'ORG-Metrics'!$1:$1,0)),"")</f>
        <v/>
      </c>
      <c r="I21" s="21" t="str">
        <f>IFERROR(INDEX('ORG-Metrics'!$A$1:$U$38,MATCH($C21,'ORG-Metrics'!$A$1:$A$38,0),MATCH(I$1,'ORG-Metrics'!$1:$1,0)),"")</f>
        <v/>
      </c>
      <c r="J21" s="21" t="str">
        <f>IFERROR(INDEX('ORG-Metrics'!$A$1:$U$38,MATCH($C21,'ORG-Metrics'!$A$1:$A$38,0),MATCH(J$1,'ORG-Metrics'!$1:$1,0)),"")</f>
        <v/>
      </c>
      <c r="K21" s="21" t="str">
        <f>IFERROR(INDEX('ORG-Metrics'!$A$1:$U$38,MATCH($C21,'ORG-Metrics'!$A$1:$A$38,0),MATCH(K$1,'ORG-Metrics'!$1:$1,0)),"")</f>
        <v/>
      </c>
      <c r="L21" s="21" t="str">
        <f>IFERROR(INDEX('ORG-Metrics'!$A$1:$U$38,MATCH($C21,'ORG-Metrics'!$A$1:$A$38,0),MATCH(L$1,'ORG-Metrics'!$1:$1,0)),"")</f>
        <v/>
      </c>
      <c r="M21" s="21" t="str">
        <f>IFERROR(INDEX('ORG-Metrics'!$A$1:$U$38,MATCH($C21,'ORG-Metrics'!$A$1:$A$38,0),MATCH(M$1,'ORG-Metrics'!$1:$1,0)),"")</f>
        <v/>
      </c>
      <c r="N21" s="21" t="str">
        <f>IFERROR(INDEX('ORG-Metrics'!$A$1:$U$38,MATCH($C21,'ORG-Metrics'!$A$1:$A$38,0),MATCH(N$1,'ORG-Metrics'!$1:$1,0)),"")</f>
        <v/>
      </c>
      <c r="O21" s="21" t="str">
        <f>IFERROR(INDEX('ORG-Metrics'!$A$1:$U$38,MATCH($C21,'ORG-Metrics'!$A$1:$A$38,0),MATCH(O$1,'ORG-Metrics'!$1:$1,0)),"")</f>
        <v/>
      </c>
      <c r="P21" s="21" t="str">
        <f>IFERROR(INDEX('ORG-Metrics'!$A$1:$U$38,MATCH($C21,'ORG-Metrics'!$A$1:$A$38,0),MATCH(P$1,'ORG-Metrics'!$1:$1,0)),"")</f>
        <v/>
      </c>
      <c r="Q21" s="21" t="str">
        <f>IFERROR(INDEX('ORG-Metrics'!$A$1:$U$38,MATCH($C21,'ORG-Metrics'!$A$1:$A$38,0),MATCH(Q$1,'ORG-Metrics'!$1:$1,0)),"")</f>
        <v/>
      </c>
      <c r="R21" s="21" t="str">
        <f>IFERROR(INDEX('ORG-Metrics'!$A$1:$U$38,MATCH($C21,'ORG-Metrics'!$A$1:$A$38,0),MATCH(R$1,'ORG-Metrics'!$1:$1,0)),"")</f>
        <v/>
      </c>
      <c r="S21" s="21" t="str">
        <f>IFERROR(INDEX('ORG-Metrics'!$A$1:$U$38,MATCH($C21,'ORG-Metrics'!$A$1:$A$38,0),MATCH(S$1,'ORG-Metrics'!$1:$1,0)),"")</f>
        <v/>
      </c>
      <c r="T21" s="21" t="str">
        <f>IFERROR(INDEX('ORG-Metrics'!$A$1:$U$38,MATCH($C21,'ORG-Metrics'!$A$1:$A$38,0),MATCH(T$1,'ORG-Metrics'!$1:$1,0)),"")</f>
        <v/>
      </c>
      <c r="U21" s="21" t="str">
        <f>IFERROR(INDEX('ORG-Metrics'!$A$1:$U$38,MATCH($C21,'ORG-Metrics'!$A$1:$A$38,0),MATCH(U$1,'ORG-Metrics'!$1:$1,0)),"")</f>
        <v/>
      </c>
      <c r="V21" t="str">
        <f>IFERROR(INDEX('ORG-Metrics'!$A$1:$U$38,MATCH($C21,'ORG-Metrics'!$A$1:$A$38,0),MATCH(V$1,'ORG-Metrics'!$1:$1,0)),"")</f>
        <v/>
      </c>
      <c r="W21" t="str">
        <f>IFERROR(INDEX('ORG-Metrics'!$A$1:$U$38,MATCH($C21,'ORG-Metrics'!$A$1:$A$38,0),MATCH(W$1,'ORG-Metrics'!$1:$1,0)),"")</f>
        <v/>
      </c>
    </row>
    <row r="22" spans="1:23" x14ac:dyDescent="0.3">
      <c r="D22" s="21" t="str">
        <f>IFERROR(INDEX('ORG-Metrics'!$A$1:$U$38,MATCH($C22,'ORG-Metrics'!$A$1:$A$38,0),MATCH(D$1,'ORG-Metrics'!$1:$1,0)),"")</f>
        <v/>
      </c>
      <c r="E22" s="21" t="str">
        <f>IFERROR(INDEX('ORG-Metrics'!$A$1:$U$38,MATCH($C22,'ORG-Metrics'!$A$1:$A$38,0),MATCH(E$1,'ORG-Metrics'!$1:$1,0)),"")</f>
        <v/>
      </c>
      <c r="F22" s="21" t="str">
        <f>IFERROR(INDEX('ORG-Metrics'!$A$1:$U$38,MATCH($C22,'ORG-Metrics'!$A$1:$A$38,0),MATCH(F$1,'ORG-Metrics'!$1:$1,0)),"")</f>
        <v/>
      </c>
      <c r="G22" s="21" t="str">
        <f>IFERROR(INDEX('ORG-Metrics'!$A$1:$U$38,MATCH($C22,'ORG-Metrics'!$A$1:$A$38,0),MATCH(G$1,'ORG-Metrics'!$1:$1,0)),"")</f>
        <v/>
      </c>
      <c r="H22" s="21" t="str">
        <f>IFERROR(INDEX('ORG-Metrics'!$A$1:$U$38,MATCH($C22,'ORG-Metrics'!$A$1:$A$38,0),MATCH(H$1,'ORG-Metrics'!$1:$1,0)),"")</f>
        <v/>
      </c>
      <c r="I22" s="21" t="str">
        <f>IFERROR(INDEX('ORG-Metrics'!$A$1:$U$38,MATCH($C22,'ORG-Metrics'!$A$1:$A$38,0),MATCH(I$1,'ORG-Metrics'!$1:$1,0)),"")</f>
        <v/>
      </c>
      <c r="J22" s="21" t="str">
        <f>IFERROR(INDEX('ORG-Metrics'!$A$1:$U$38,MATCH($C22,'ORG-Metrics'!$A$1:$A$38,0),MATCH(J$1,'ORG-Metrics'!$1:$1,0)),"")</f>
        <v/>
      </c>
      <c r="K22" s="21" t="str">
        <f>IFERROR(INDEX('ORG-Metrics'!$A$1:$U$38,MATCH($C22,'ORG-Metrics'!$A$1:$A$38,0),MATCH(K$1,'ORG-Metrics'!$1:$1,0)),"")</f>
        <v/>
      </c>
      <c r="L22" s="21" t="str">
        <f>IFERROR(INDEX('ORG-Metrics'!$A$1:$U$38,MATCH($C22,'ORG-Metrics'!$A$1:$A$38,0),MATCH(L$1,'ORG-Metrics'!$1:$1,0)),"")</f>
        <v/>
      </c>
      <c r="M22" s="21" t="str">
        <f>IFERROR(INDEX('ORG-Metrics'!$A$1:$U$38,MATCH($C22,'ORG-Metrics'!$A$1:$A$38,0),MATCH(M$1,'ORG-Metrics'!$1:$1,0)),"")</f>
        <v/>
      </c>
      <c r="N22" s="21" t="str">
        <f>IFERROR(INDEX('ORG-Metrics'!$A$1:$U$38,MATCH($C22,'ORG-Metrics'!$A$1:$A$38,0),MATCH(N$1,'ORG-Metrics'!$1:$1,0)),"")</f>
        <v/>
      </c>
      <c r="O22" s="21" t="str">
        <f>IFERROR(INDEX('ORG-Metrics'!$A$1:$U$38,MATCH($C22,'ORG-Metrics'!$A$1:$A$38,0),MATCH(O$1,'ORG-Metrics'!$1:$1,0)),"")</f>
        <v/>
      </c>
      <c r="P22" s="21" t="str">
        <f>IFERROR(INDEX('ORG-Metrics'!$A$1:$U$38,MATCH($C22,'ORG-Metrics'!$A$1:$A$38,0),MATCH(P$1,'ORG-Metrics'!$1:$1,0)),"")</f>
        <v/>
      </c>
      <c r="Q22" s="21" t="str">
        <f>IFERROR(INDEX('ORG-Metrics'!$A$1:$U$38,MATCH($C22,'ORG-Metrics'!$A$1:$A$38,0),MATCH(Q$1,'ORG-Metrics'!$1:$1,0)),"")</f>
        <v/>
      </c>
      <c r="R22" s="21" t="str">
        <f>IFERROR(INDEX('ORG-Metrics'!$A$1:$U$38,MATCH($C22,'ORG-Metrics'!$A$1:$A$38,0),MATCH(R$1,'ORG-Metrics'!$1:$1,0)),"")</f>
        <v/>
      </c>
      <c r="S22" s="21" t="str">
        <f>IFERROR(INDEX('ORG-Metrics'!$A$1:$U$38,MATCH($C22,'ORG-Metrics'!$A$1:$A$38,0),MATCH(S$1,'ORG-Metrics'!$1:$1,0)),"")</f>
        <v/>
      </c>
      <c r="T22" s="21" t="str">
        <f>IFERROR(INDEX('ORG-Metrics'!$A$1:$U$38,MATCH($C22,'ORG-Metrics'!$A$1:$A$38,0),MATCH(T$1,'ORG-Metrics'!$1:$1,0)),"")</f>
        <v/>
      </c>
      <c r="U22" s="21" t="str">
        <f>IFERROR(INDEX('ORG-Metrics'!$A$1:$U$38,MATCH($C22,'ORG-Metrics'!$A$1:$A$38,0),MATCH(U$1,'ORG-Metrics'!$1:$1,0)),"")</f>
        <v/>
      </c>
      <c r="V22" t="str">
        <f>IFERROR(INDEX('ORG-Metrics'!$A$1:$U$38,MATCH($C22,'ORG-Metrics'!$A$1:$A$38,0),MATCH(V$1,'ORG-Metrics'!$1:$1,0)),"")</f>
        <v/>
      </c>
      <c r="W22" t="str">
        <f>IFERROR(INDEX('ORG-Metrics'!$A$1:$U$38,MATCH($C22,'ORG-Metrics'!$A$1:$A$38,0),MATCH(W$1,'ORG-Metrics'!$1:$1,0)),"")</f>
        <v/>
      </c>
    </row>
    <row r="23" spans="1:23" x14ac:dyDescent="0.3">
      <c r="D23" s="21" t="str">
        <f>IFERROR(INDEX('ORG-Metrics'!$A$1:$U$38,MATCH($C23,'ORG-Metrics'!$A$1:$A$38,0),MATCH(D$1,'ORG-Metrics'!$1:$1,0)),"")</f>
        <v/>
      </c>
      <c r="E23" s="21" t="str">
        <f>IFERROR(INDEX('ORG-Metrics'!$A$1:$U$38,MATCH($C23,'ORG-Metrics'!$A$1:$A$38,0),MATCH(E$1,'ORG-Metrics'!$1:$1,0)),"")</f>
        <v/>
      </c>
      <c r="F23" s="21" t="str">
        <f>IFERROR(INDEX('ORG-Metrics'!$A$1:$U$38,MATCH($C23,'ORG-Metrics'!$A$1:$A$38,0),MATCH(F$1,'ORG-Metrics'!$1:$1,0)),"")</f>
        <v/>
      </c>
      <c r="G23" s="21" t="str">
        <f>IFERROR(INDEX('ORG-Metrics'!$A$1:$U$38,MATCH($C23,'ORG-Metrics'!$A$1:$A$38,0),MATCH(G$1,'ORG-Metrics'!$1:$1,0)),"")</f>
        <v/>
      </c>
      <c r="H23" s="21" t="str">
        <f>IFERROR(INDEX('ORG-Metrics'!$A$1:$U$38,MATCH($C23,'ORG-Metrics'!$A$1:$A$38,0),MATCH(H$1,'ORG-Metrics'!$1:$1,0)),"")</f>
        <v/>
      </c>
      <c r="I23" s="21" t="str">
        <f>IFERROR(INDEX('ORG-Metrics'!$A$1:$U$38,MATCH($C23,'ORG-Metrics'!$A$1:$A$38,0),MATCH(I$1,'ORG-Metrics'!$1:$1,0)),"")</f>
        <v/>
      </c>
      <c r="J23" s="21" t="str">
        <f>IFERROR(INDEX('ORG-Metrics'!$A$1:$U$38,MATCH($C23,'ORG-Metrics'!$A$1:$A$38,0),MATCH(J$1,'ORG-Metrics'!$1:$1,0)),"")</f>
        <v/>
      </c>
      <c r="K23" s="21" t="str">
        <f>IFERROR(INDEX('ORG-Metrics'!$A$1:$U$38,MATCH($C23,'ORG-Metrics'!$A$1:$A$38,0),MATCH(K$1,'ORG-Metrics'!$1:$1,0)),"")</f>
        <v/>
      </c>
      <c r="L23" s="21" t="str">
        <f>IFERROR(INDEX('ORG-Metrics'!$A$1:$U$38,MATCH($C23,'ORG-Metrics'!$A$1:$A$38,0),MATCH(L$1,'ORG-Metrics'!$1:$1,0)),"")</f>
        <v/>
      </c>
      <c r="M23" s="21" t="str">
        <f>IFERROR(INDEX('ORG-Metrics'!$A$1:$U$38,MATCH($C23,'ORG-Metrics'!$A$1:$A$38,0),MATCH(M$1,'ORG-Metrics'!$1:$1,0)),"")</f>
        <v/>
      </c>
      <c r="N23" s="21" t="str">
        <f>IFERROR(INDEX('ORG-Metrics'!$A$1:$U$38,MATCH($C23,'ORG-Metrics'!$A$1:$A$38,0),MATCH(N$1,'ORG-Metrics'!$1:$1,0)),"")</f>
        <v/>
      </c>
      <c r="O23" s="21" t="str">
        <f>IFERROR(INDEX('ORG-Metrics'!$A$1:$U$38,MATCH($C23,'ORG-Metrics'!$A$1:$A$38,0),MATCH(O$1,'ORG-Metrics'!$1:$1,0)),"")</f>
        <v/>
      </c>
      <c r="P23" s="21" t="str">
        <f>IFERROR(INDEX('ORG-Metrics'!$A$1:$U$38,MATCH($C23,'ORG-Metrics'!$A$1:$A$38,0),MATCH(P$1,'ORG-Metrics'!$1:$1,0)),"")</f>
        <v/>
      </c>
      <c r="Q23" s="21" t="str">
        <f>IFERROR(INDEX('ORG-Metrics'!$A$1:$U$38,MATCH($C23,'ORG-Metrics'!$A$1:$A$38,0),MATCH(Q$1,'ORG-Metrics'!$1:$1,0)),"")</f>
        <v/>
      </c>
      <c r="R23" s="21" t="str">
        <f>IFERROR(INDEX('ORG-Metrics'!$A$1:$U$38,MATCH($C23,'ORG-Metrics'!$A$1:$A$38,0),MATCH(R$1,'ORG-Metrics'!$1:$1,0)),"")</f>
        <v/>
      </c>
      <c r="S23" s="21" t="str">
        <f>IFERROR(INDEX('ORG-Metrics'!$A$1:$U$38,MATCH($C23,'ORG-Metrics'!$A$1:$A$38,0),MATCH(S$1,'ORG-Metrics'!$1:$1,0)),"")</f>
        <v/>
      </c>
      <c r="T23" s="21" t="str">
        <f>IFERROR(INDEX('ORG-Metrics'!$A$1:$U$38,MATCH($C23,'ORG-Metrics'!$A$1:$A$38,0),MATCH(T$1,'ORG-Metrics'!$1:$1,0)),"")</f>
        <v/>
      </c>
      <c r="U23" s="21" t="str">
        <f>IFERROR(INDEX('ORG-Metrics'!$A$1:$U$38,MATCH($C23,'ORG-Metrics'!$A$1:$A$38,0),MATCH(U$1,'ORG-Metrics'!$1:$1,0)),"")</f>
        <v/>
      </c>
      <c r="V23" t="str">
        <f>IFERROR(INDEX('ORG-Metrics'!$A$1:$U$38,MATCH($C23,'ORG-Metrics'!$A$1:$A$38,0),MATCH(V$1,'ORG-Metrics'!$1:$1,0)),"")</f>
        <v/>
      </c>
      <c r="W23" t="str">
        <f>IFERROR(INDEX('ORG-Metrics'!$A$1:$U$38,MATCH($C23,'ORG-Metrics'!$A$1:$A$38,0),MATCH(W$1,'ORG-Metrics'!$1:$1,0)),"")</f>
        <v/>
      </c>
    </row>
    <row r="24" spans="1:23" x14ac:dyDescent="0.3">
      <c r="D24" s="21" t="str">
        <f>IFERROR(INDEX('ORG-Metrics'!$A$1:$U$38,MATCH($C24,'ORG-Metrics'!$A$1:$A$38,0),MATCH(D$1,'ORG-Metrics'!$1:$1,0)),"")</f>
        <v/>
      </c>
      <c r="E24" s="21" t="str">
        <f>IFERROR(INDEX('ORG-Metrics'!$A$1:$U$38,MATCH($C24,'ORG-Metrics'!$A$1:$A$38,0),MATCH(E$1,'ORG-Metrics'!$1:$1,0)),"")</f>
        <v/>
      </c>
      <c r="F24" s="21" t="str">
        <f>IFERROR(INDEX('ORG-Metrics'!$A$1:$U$38,MATCH($C24,'ORG-Metrics'!$A$1:$A$38,0),MATCH(F$1,'ORG-Metrics'!$1:$1,0)),"")</f>
        <v/>
      </c>
      <c r="G24" s="21" t="str">
        <f>IFERROR(INDEX('ORG-Metrics'!$A$1:$U$38,MATCH($C24,'ORG-Metrics'!$A$1:$A$38,0),MATCH(G$1,'ORG-Metrics'!$1:$1,0)),"")</f>
        <v/>
      </c>
      <c r="H24" s="21" t="str">
        <f>IFERROR(INDEX('ORG-Metrics'!$A$1:$U$38,MATCH($C24,'ORG-Metrics'!$A$1:$A$38,0),MATCH(H$1,'ORG-Metrics'!$1:$1,0)),"")</f>
        <v/>
      </c>
      <c r="I24" s="21" t="str">
        <f>IFERROR(INDEX('ORG-Metrics'!$A$1:$U$38,MATCH($C24,'ORG-Metrics'!$A$1:$A$38,0),MATCH(I$1,'ORG-Metrics'!$1:$1,0)),"")</f>
        <v/>
      </c>
      <c r="J24" s="21" t="str">
        <f>IFERROR(INDEX('ORG-Metrics'!$A$1:$U$38,MATCH($C24,'ORG-Metrics'!$A$1:$A$38,0),MATCH(J$1,'ORG-Metrics'!$1:$1,0)),"")</f>
        <v/>
      </c>
      <c r="K24" s="21" t="str">
        <f>IFERROR(INDEX('ORG-Metrics'!$A$1:$U$38,MATCH($C24,'ORG-Metrics'!$A$1:$A$38,0),MATCH(K$1,'ORG-Metrics'!$1:$1,0)),"")</f>
        <v/>
      </c>
      <c r="L24" s="21" t="str">
        <f>IFERROR(INDEX('ORG-Metrics'!$A$1:$U$38,MATCH($C24,'ORG-Metrics'!$A$1:$A$38,0),MATCH(L$1,'ORG-Metrics'!$1:$1,0)),"")</f>
        <v/>
      </c>
      <c r="M24" s="21" t="str">
        <f>IFERROR(INDEX('ORG-Metrics'!$A$1:$U$38,MATCH($C24,'ORG-Metrics'!$A$1:$A$38,0),MATCH(M$1,'ORG-Metrics'!$1:$1,0)),"")</f>
        <v/>
      </c>
      <c r="N24" s="21" t="str">
        <f>IFERROR(INDEX('ORG-Metrics'!$A$1:$U$38,MATCH($C24,'ORG-Metrics'!$A$1:$A$38,0),MATCH(N$1,'ORG-Metrics'!$1:$1,0)),"")</f>
        <v/>
      </c>
      <c r="O24" s="21" t="str">
        <f>IFERROR(INDEX('ORG-Metrics'!$A$1:$U$38,MATCH($C24,'ORG-Metrics'!$A$1:$A$38,0),MATCH(O$1,'ORG-Metrics'!$1:$1,0)),"")</f>
        <v/>
      </c>
      <c r="P24" s="21" t="str">
        <f>IFERROR(INDEX('ORG-Metrics'!$A$1:$U$38,MATCH($C24,'ORG-Metrics'!$A$1:$A$38,0),MATCH(P$1,'ORG-Metrics'!$1:$1,0)),"")</f>
        <v/>
      </c>
      <c r="Q24" s="21" t="str">
        <f>IFERROR(INDEX('ORG-Metrics'!$A$1:$U$38,MATCH($C24,'ORG-Metrics'!$A$1:$A$38,0),MATCH(Q$1,'ORG-Metrics'!$1:$1,0)),"")</f>
        <v/>
      </c>
      <c r="R24" s="21" t="str">
        <f>IFERROR(INDEX('ORG-Metrics'!$A$1:$U$38,MATCH($C24,'ORG-Metrics'!$A$1:$A$38,0),MATCH(R$1,'ORG-Metrics'!$1:$1,0)),"")</f>
        <v/>
      </c>
      <c r="S24" s="21" t="str">
        <f>IFERROR(INDEX('ORG-Metrics'!$A$1:$U$38,MATCH($C24,'ORG-Metrics'!$A$1:$A$38,0),MATCH(S$1,'ORG-Metrics'!$1:$1,0)),"")</f>
        <v/>
      </c>
      <c r="T24" s="21" t="str">
        <f>IFERROR(INDEX('ORG-Metrics'!$A$1:$U$38,MATCH($C24,'ORG-Metrics'!$A$1:$A$38,0),MATCH(T$1,'ORG-Metrics'!$1:$1,0)),"")</f>
        <v/>
      </c>
      <c r="U24" s="21" t="str">
        <f>IFERROR(INDEX('ORG-Metrics'!$A$1:$U$38,MATCH($C24,'ORG-Metrics'!$A$1:$A$38,0),MATCH(U$1,'ORG-Metrics'!$1:$1,0)),"")</f>
        <v/>
      </c>
      <c r="V24" t="str">
        <f>IFERROR(INDEX('ORG-Metrics'!$A$1:$U$38,MATCH($C24,'ORG-Metrics'!$A$1:$A$38,0),MATCH(V$1,'ORG-Metrics'!$1:$1,0)),"")</f>
        <v/>
      </c>
      <c r="W24" t="str">
        <f>IFERROR(INDEX('ORG-Metrics'!$A$1:$U$38,MATCH($C24,'ORG-Metrics'!$A$1:$A$38,0),MATCH(W$1,'ORG-Metrics'!$1:$1,0)),"")</f>
        <v/>
      </c>
    </row>
    <row r="25" spans="1:23" x14ac:dyDescent="0.3">
      <c r="D25" s="21" t="str">
        <f>IFERROR(INDEX('ORG-Metrics'!$A$1:$U$38,MATCH($C25,'ORG-Metrics'!$A$1:$A$38,0),MATCH(D$1,'ORG-Metrics'!$1:$1,0)),"")</f>
        <v/>
      </c>
      <c r="E25" s="21" t="str">
        <f>IFERROR(INDEX('ORG-Metrics'!$A$1:$U$38,MATCH($C25,'ORG-Metrics'!$A$1:$A$38,0),MATCH(E$1,'ORG-Metrics'!$1:$1,0)),"")</f>
        <v/>
      </c>
      <c r="F25" s="21" t="str">
        <f>IFERROR(INDEX('ORG-Metrics'!$A$1:$U$38,MATCH($C25,'ORG-Metrics'!$A$1:$A$38,0),MATCH(F$1,'ORG-Metrics'!$1:$1,0)),"")</f>
        <v/>
      </c>
      <c r="G25" s="21" t="str">
        <f>IFERROR(INDEX('ORG-Metrics'!$A$1:$U$38,MATCH($C25,'ORG-Metrics'!$A$1:$A$38,0),MATCH(G$1,'ORG-Metrics'!$1:$1,0)),"")</f>
        <v/>
      </c>
      <c r="H25" s="21" t="str">
        <f>IFERROR(INDEX('ORG-Metrics'!$A$1:$U$38,MATCH($C25,'ORG-Metrics'!$A$1:$A$38,0),MATCH(H$1,'ORG-Metrics'!$1:$1,0)),"")</f>
        <v/>
      </c>
      <c r="I25" s="21" t="str">
        <f>IFERROR(INDEX('ORG-Metrics'!$A$1:$U$38,MATCH($C25,'ORG-Metrics'!$A$1:$A$38,0),MATCH(I$1,'ORG-Metrics'!$1:$1,0)),"")</f>
        <v/>
      </c>
      <c r="J25" s="21" t="str">
        <f>IFERROR(INDEX('ORG-Metrics'!$A$1:$U$38,MATCH($C25,'ORG-Metrics'!$A$1:$A$38,0),MATCH(J$1,'ORG-Metrics'!$1:$1,0)),"")</f>
        <v/>
      </c>
      <c r="K25" s="21" t="str">
        <f>IFERROR(INDEX('ORG-Metrics'!$A$1:$U$38,MATCH($C25,'ORG-Metrics'!$A$1:$A$38,0),MATCH(K$1,'ORG-Metrics'!$1:$1,0)),"")</f>
        <v/>
      </c>
      <c r="L25" s="21" t="str">
        <f>IFERROR(INDEX('ORG-Metrics'!$A$1:$U$38,MATCH($C25,'ORG-Metrics'!$A$1:$A$38,0),MATCH(L$1,'ORG-Metrics'!$1:$1,0)),"")</f>
        <v/>
      </c>
      <c r="M25" s="21" t="str">
        <f>IFERROR(INDEX('ORG-Metrics'!$A$1:$U$38,MATCH($C25,'ORG-Metrics'!$A$1:$A$38,0),MATCH(M$1,'ORG-Metrics'!$1:$1,0)),"")</f>
        <v/>
      </c>
      <c r="N25" s="21" t="str">
        <f>IFERROR(INDEX('ORG-Metrics'!$A$1:$U$38,MATCH($C25,'ORG-Metrics'!$A$1:$A$38,0),MATCH(N$1,'ORG-Metrics'!$1:$1,0)),"")</f>
        <v/>
      </c>
      <c r="O25" s="21" t="str">
        <f>IFERROR(INDEX('ORG-Metrics'!$A$1:$U$38,MATCH($C25,'ORG-Metrics'!$A$1:$A$38,0),MATCH(O$1,'ORG-Metrics'!$1:$1,0)),"")</f>
        <v/>
      </c>
      <c r="P25" s="21" t="str">
        <f>IFERROR(INDEX('ORG-Metrics'!$A$1:$U$38,MATCH($C25,'ORG-Metrics'!$A$1:$A$38,0),MATCH(P$1,'ORG-Metrics'!$1:$1,0)),"")</f>
        <v/>
      </c>
      <c r="Q25" s="21" t="str">
        <f>IFERROR(INDEX('ORG-Metrics'!$A$1:$U$38,MATCH($C25,'ORG-Metrics'!$A$1:$A$38,0),MATCH(Q$1,'ORG-Metrics'!$1:$1,0)),"")</f>
        <v/>
      </c>
      <c r="R25" s="21" t="str">
        <f>IFERROR(INDEX('ORG-Metrics'!$A$1:$U$38,MATCH($C25,'ORG-Metrics'!$A$1:$A$38,0),MATCH(R$1,'ORG-Metrics'!$1:$1,0)),"")</f>
        <v/>
      </c>
      <c r="S25" s="21" t="str">
        <f>IFERROR(INDEX('ORG-Metrics'!$A$1:$U$38,MATCH($C25,'ORG-Metrics'!$A$1:$A$38,0),MATCH(S$1,'ORG-Metrics'!$1:$1,0)),"")</f>
        <v/>
      </c>
      <c r="T25" s="21" t="str">
        <f>IFERROR(INDEX('ORG-Metrics'!$A$1:$U$38,MATCH($C25,'ORG-Metrics'!$A$1:$A$38,0),MATCH(T$1,'ORG-Metrics'!$1:$1,0)),"")</f>
        <v/>
      </c>
      <c r="U25" s="21" t="str">
        <f>IFERROR(INDEX('ORG-Metrics'!$A$1:$U$38,MATCH($C25,'ORG-Metrics'!$A$1:$A$38,0),MATCH(U$1,'ORG-Metrics'!$1:$1,0)),"")</f>
        <v/>
      </c>
      <c r="V25" t="str">
        <f>IFERROR(INDEX('ORG-Metrics'!$A$1:$U$38,MATCH($C25,'ORG-Metrics'!$A$1:$A$38,0),MATCH(V$1,'ORG-Metrics'!$1:$1,0)),"")</f>
        <v/>
      </c>
      <c r="W25" t="str">
        <f>IFERROR(INDEX('ORG-Metrics'!$A$1:$U$38,MATCH($C25,'ORG-Metrics'!$A$1:$A$38,0),MATCH(W$1,'ORG-Metrics'!$1:$1,0)),"")</f>
        <v/>
      </c>
    </row>
    <row r="26" spans="1:23" x14ac:dyDescent="0.3">
      <c r="D26" s="21" t="str">
        <f>IFERROR(INDEX('ORG-Metrics'!$A$1:$U$38,MATCH($C26,'ORG-Metrics'!$A$1:$A$38,0),MATCH(D$1,'ORG-Metrics'!$1:$1,0)),"")</f>
        <v/>
      </c>
      <c r="E26" s="21" t="str">
        <f>IFERROR(INDEX('ORG-Metrics'!$A$1:$U$38,MATCH($C26,'ORG-Metrics'!$A$1:$A$38,0),MATCH(E$1,'ORG-Metrics'!$1:$1,0)),"")</f>
        <v/>
      </c>
      <c r="F26" s="21" t="str">
        <f>IFERROR(INDEX('ORG-Metrics'!$A$1:$U$38,MATCH($C26,'ORG-Metrics'!$A$1:$A$38,0),MATCH(F$1,'ORG-Metrics'!$1:$1,0)),"")</f>
        <v/>
      </c>
      <c r="G26" s="21" t="str">
        <f>IFERROR(INDEX('ORG-Metrics'!$A$1:$U$38,MATCH($C26,'ORG-Metrics'!$A$1:$A$38,0),MATCH(G$1,'ORG-Metrics'!$1:$1,0)),"")</f>
        <v/>
      </c>
      <c r="H26" s="21" t="str">
        <f>IFERROR(INDEX('ORG-Metrics'!$A$1:$U$38,MATCH($C26,'ORG-Metrics'!$A$1:$A$38,0),MATCH(H$1,'ORG-Metrics'!$1:$1,0)),"")</f>
        <v/>
      </c>
      <c r="I26" s="21" t="str">
        <f>IFERROR(INDEX('ORG-Metrics'!$A$1:$U$38,MATCH($C26,'ORG-Metrics'!$A$1:$A$38,0),MATCH(I$1,'ORG-Metrics'!$1:$1,0)),"")</f>
        <v/>
      </c>
      <c r="J26" s="21" t="str">
        <f>IFERROR(INDEX('ORG-Metrics'!$A$1:$U$38,MATCH($C26,'ORG-Metrics'!$A$1:$A$38,0),MATCH(J$1,'ORG-Metrics'!$1:$1,0)),"")</f>
        <v/>
      </c>
      <c r="K26" s="21" t="str">
        <f>IFERROR(INDEX('ORG-Metrics'!$A$1:$U$38,MATCH($C26,'ORG-Metrics'!$A$1:$A$38,0),MATCH(K$1,'ORG-Metrics'!$1:$1,0)),"")</f>
        <v/>
      </c>
      <c r="L26" s="21" t="str">
        <f>IFERROR(INDEX('ORG-Metrics'!$A$1:$U$38,MATCH($C26,'ORG-Metrics'!$A$1:$A$38,0),MATCH(L$1,'ORG-Metrics'!$1:$1,0)),"")</f>
        <v/>
      </c>
      <c r="M26" s="21" t="str">
        <f>IFERROR(INDEX('ORG-Metrics'!$A$1:$U$38,MATCH($C26,'ORG-Metrics'!$A$1:$A$38,0),MATCH(M$1,'ORG-Metrics'!$1:$1,0)),"")</f>
        <v/>
      </c>
      <c r="N26" s="21" t="str">
        <f>IFERROR(INDEX('ORG-Metrics'!$A$1:$U$38,MATCH($C26,'ORG-Metrics'!$A$1:$A$38,0),MATCH(N$1,'ORG-Metrics'!$1:$1,0)),"")</f>
        <v/>
      </c>
      <c r="O26" s="21" t="str">
        <f>IFERROR(INDEX('ORG-Metrics'!$A$1:$U$38,MATCH($C26,'ORG-Metrics'!$A$1:$A$38,0),MATCH(O$1,'ORG-Metrics'!$1:$1,0)),"")</f>
        <v/>
      </c>
      <c r="P26" s="21" t="str">
        <f>IFERROR(INDEX('ORG-Metrics'!$A$1:$U$38,MATCH($C26,'ORG-Metrics'!$A$1:$A$38,0),MATCH(P$1,'ORG-Metrics'!$1:$1,0)),"")</f>
        <v/>
      </c>
      <c r="Q26" s="21" t="str">
        <f>IFERROR(INDEX('ORG-Metrics'!$A$1:$U$38,MATCH($C26,'ORG-Metrics'!$A$1:$A$38,0),MATCH(Q$1,'ORG-Metrics'!$1:$1,0)),"")</f>
        <v/>
      </c>
      <c r="R26" s="21" t="str">
        <f>IFERROR(INDEX('ORG-Metrics'!$A$1:$U$38,MATCH($C26,'ORG-Metrics'!$A$1:$A$38,0),MATCH(R$1,'ORG-Metrics'!$1:$1,0)),"")</f>
        <v/>
      </c>
      <c r="S26" s="21" t="str">
        <f>IFERROR(INDEX('ORG-Metrics'!$A$1:$U$38,MATCH($C26,'ORG-Metrics'!$A$1:$A$38,0),MATCH(S$1,'ORG-Metrics'!$1:$1,0)),"")</f>
        <v/>
      </c>
      <c r="T26" s="21" t="str">
        <f>IFERROR(INDEX('ORG-Metrics'!$A$1:$U$38,MATCH($C26,'ORG-Metrics'!$A$1:$A$38,0),MATCH(T$1,'ORG-Metrics'!$1:$1,0)),"")</f>
        <v/>
      </c>
      <c r="U26" s="21" t="str">
        <f>IFERROR(INDEX('ORG-Metrics'!$A$1:$U$38,MATCH($C26,'ORG-Metrics'!$A$1:$A$38,0),MATCH(U$1,'ORG-Metrics'!$1:$1,0)),"")</f>
        <v/>
      </c>
      <c r="V26" t="str">
        <f>IFERROR(INDEX('ORG-Metrics'!$A$1:$U$38,MATCH($C26,'ORG-Metrics'!$A$1:$A$38,0),MATCH(V$1,'ORG-Metrics'!$1:$1,0)),"")</f>
        <v/>
      </c>
      <c r="W26" t="str">
        <f>IFERROR(INDEX('ORG-Metrics'!$A$1:$U$38,MATCH($C26,'ORG-Metrics'!$A$1:$A$38,0),MATCH(W$1,'ORG-Metrics'!$1:$1,0)),"")</f>
        <v/>
      </c>
    </row>
    <row r="27" spans="1:23" x14ac:dyDescent="0.3">
      <c r="D27" s="21" t="str">
        <f>IFERROR(INDEX('ORG-Metrics'!$A$1:$U$38,MATCH($C27,'ORG-Metrics'!$A$1:$A$38,0),MATCH(D$1,'ORG-Metrics'!$1:$1,0)),"")</f>
        <v/>
      </c>
      <c r="E27" s="21" t="str">
        <f>IFERROR(INDEX('ORG-Metrics'!$A$1:$U$38,MATCH($C27,'ORG-Metrics'!$A$1:$A$38,0),MATCH(E$1,'ORG-Metrics'!$1:$1,0)),"")</f>
        <v/>
      </c>
      <c r="F27" s="21" t="str">
        <f>IFERROR(INDEX('ORG-Metrics'!$A$1:$U$38,MATCH($C27,'ORG-Metrics'!$A$1:$A$38,0),MATCH(F$1,'ORG-Metrics'!$1:$1,0)),"")</f>
        <v/>
      </c>
      <c r="G27" s="21" t="str">
        <f>IFERROR(INDEX('ORG-Metrics'!$A$1:$U$38,MATCH($C27,'ORG-Metrics'!$A$1:$A$38,0),MATCH(G$1,'ORG-Metrics'!$1:$1,0)),"")</f>
        <v/>
      </c>
      <c r="H27" s="21" t="str">
        <f>IFERROR(INDEX('ORG-Metrics'!$A$1:$U$38,MATCH($C27,'ORG-Metrics'!$A$1:$A$38,0),MATCH(H$1,'ORG-Metrics'!$1:$1,0)),"")</f>
        <v/>
      </c>
      <c r="I27" s="21" t="str">
        <f>IFERROR(INDEX('ORG-Metrics'!$A$1:$U$38,MATCH($C27,'ORG-Metrics'!$A$1:$A$38,0),MATCH(I$1,'ORG-Metrics'!$1:$1,0)),"")</f>
        <v/>
      </c>
      <c r="J27" s="21" t="str">
        <f>IFERROR(INDEX('ORG-Metrics'!$A$1:$U$38,MATCH($C27,'ORG-Metrics'!$A$1:$A$38,0),MATCH(J$1,'ORG-Metrics'!$1:$1,0)),"")</f>
        <v/>
      </c>
      <c r="K27" s="21" t="str">
        <f>IFERROR(INDEX('ORG-Metrics'!$A$1:$U$38,MATCH($C27,'ORG-Metrics'!$A$1:$A$38,0),MATCH(K$1,'ORG-Metrics'!$1:$1,0)),"")</f>
        <v/>
      </c>
      <c r="L27" s="21" t="str">
        <f>IFERROR(INDEX('ORG-Metrics'!$A$1:$U$38,MATCH($C27,'ORG-Metrics'!$A$1:$A$38,0),MATCH(L$1,'ORG-Metrics'!$1:$1,0)),"")</f>
        <v/>
      </c>
      <c r="M27" s="21" t="str">
        <f>IFERROR(INDEX('ORG-Metrics'!$A$1:$U$38,MATCH($C27,'ORG-Metrics'!$A$1:$A$38,0),MATCH(M$1,'ORG-Metrics'!$1:$1,0)),"")</f>
        <v/>
      </c>
      <c r="N27" s="21" t="str">
        <f>IFERROR(INDEX('ORG-Metrics'!$A$1:$U$38,MATCH($C27,'ORG-Metrics'!$A$1:$A$38,0),MATCH(N$1,'ORG-Metrics'!$1:$1,0)),"")</f>
        <v/>
      </c>
      <c r="O27" s="21" t="str">
        <f>IFERROR(INDEX('ORG-Metrics'!$A$1:$U$38,MATCH($C27,'ORG-Metrics'!$A$1:$A$38,0),MATCH(O$1,'ORG-Metrics'!$1:$1,0)),"")</f>
        <v/>
      </c>
      <c r="P27" s="21" t="str">
        <f>IFERROR(INDEX('ORG-Metrics'!$A$1:$U$38,MATCH($C27,'ORG-Metrics'!$A$1:$A$38,0),MATCH(P$1,'ORG-Metrics'!$1:$1,0)),"")</f>
        <v/>
      </c>
      <c r="Q27" s="21" t="str">
        <f>IFERROR(INDEX('ORG-Metrics'!$A$1:$U$38,MATCH($C27,'ORG-Metrics'!$A$1:$A$38,0),MATCH(Q$1,'ORG-Metrics'!$1:$1,0)),"")</f>
        <v/>
      </c>
      <c r="R27" s="21" t="str">
        <f>IFERROR(INDEX('ORG-Metrics'!$A$1:$U$38,MATCH($C27,'ORG-Metrics'!$A$1:$A$38,0),MATCH(R$1,'ORG-Metrics'!$1:$1,0)),"")</f>
        <v/>
      </c>
      <c r="S27" s="21" t="str">
        <f>IFERROR(INDEX('ORG-Metrics'!$A$1:$U$38,MATCH($C27,'ORG-Metrics'!$A$1:$A$38,0),MATCH(S$1,'ORG-Metrics'!$1:$1,0)),"")</f>
        <v/>
      </c>
      <c r="T27" s="21" t="str">
        <f>IFERROR(INDEX('ORG-Metrics'!$A$1:$U$38,MATCH($C27,'ORG-Metrics'!$A$1:$A$38,0),MATCH(T$1,'ORG-Metrics'!$1:$1,0)),"")</f>
        <v/>
      </c>
      <c r="U27" s="21" t="str">
        <f>IFERROR(INDEX('ORG-Metrics'!$A$1:$U$38,MATCH($C27,'ORG-Metrics'!$A$1:$A$38,0),MATCH(U$1,'ORG-Metrics'!$1:$1,0)),"")</f>
        <v/>
      </c>
      <c r="V27" t="str">
        <f>IFERROR(INDEX('ORG-Metrics'!$A$1:$U$38,MATCH($C27,'ORG-Metrics'!$A$1:$A$38,0),MATCH(V$1,'ORG-Metrics'!$1:$1,0)),"")</f>
        <v/>
      </c>
      <c r="W27" t="str">
        <f>IFERROR(INDEX('ORG-Metrics'!$A$1:$U$38,MATCH($C27,'ORG-Metrics'!$A$1:$A$38,0),MATCH(W$1,'ORG-Metrics'!$1:$1,0)),"")</f>
        <v/>
      </c>
    </row>
    <row r="28" spans="1:23" x14ac:dyDescent="0.3">
      <c r="D28" s="21" t="str">
        <f>IFERROR(INDEX('ORG-Metrics'!$A$1:$U$38,MATCH($C28,'ORG-Metrics'!$A$1:$A$38,0),MATCH(D$1,'ORG-Metrics'!$1:$1,0)),"")</f>
        <v/>
      </c>
      <c r="E28" s="21" t="str">
        <f>IFERROR(INDEX('ORG-Metrics'!$A$1:$U$38,MATCH($C28,'ORG-Metrics'!$A$1:$A$38,0),MATCH(E$1,'ORG-Metrics'!$1:$1,0)),"")</f>
        <v/>
      </c>
      <c r="F28" s="21" t="str">
        <f>IFERROR(INDEX('ORG-Metrics'!$A$1:$U$38,MATCH($C28,'ORG-Metrics'!$A$1:$A$38,0),MATCH(F$1,'ORG-Metrics'!$1:$1,0)),"")</f>
        <v/>
      </c>
      <c r="G28" s="21" t="str">
        <f>IFERROR(INDEX('ORG-Metrics'!$A$1:$U$38,MATCH($C28,'ORG-Metrics'!$A$1:$A$38,0),MATCH(G$1,'ORG-Metrics'!$1:$1,0)),"")</f>
        <v/>
      </c>
      <c r="H28" s="21" t="str">
        <f>IFERROR(INDEX('ORG-Metrics'!$A$1:$U$38,MATCH($C28,'ORG-Metrics'!$A$1:$A$38,0),MATCH(H$1,'ORG-Metrics'!$1:$1,0)),"")</f>
        <v/>
      </c>
      <c r="I28" s="21" t="str">
        <f>IFERROR(INDEX('ORG-Metrics'!$A$1:$U$38,MATCH($C28,'ORG-Metrics'!$A$1:$A$38,0),MATCH(I$1,'ORG-Metrics'!$1:$1,0)),"")</f>
        <v/>
      </c>
      <c r="J28" s="21" t="str">
        <f>IFERROR(INDEX('ORG-Metrics'!$A$1:$U$38,MATCH($C28,'ORG-Metrics'!$A$1:$A$38,0),MATCH(J$1,'ORG-Metrics'!$1:$1,0)),"")</f>
        <v/>
      </c>
      <c r="K28" s="21" t="str">
        <f>IFERROR(INDEX('ORG-Metrics'!$A$1:$U$38,MATCH($C28,'ORG-Metrics'!$A$1:$A$38,0),MATCH(K$1,'ORG-Metrics'!$1:$1,0)),"")</f>
        <v/>
      </c>
      <c r="L28" s="21" t="str">
        <f>IFERROR(INDEX('ORG-Metrics'!$A$1:$U$38,MATCH($C28,'ORG-Metrics'!$A$1:$A$38,0),MATCH(L$1,'ORG-Metrics'!$1:$1,0)),"")</f>
        <v/>
      </c>
      <c r="M28" s="21" t="str">
        <f>IFERROR(INDEX('ORG-Metrics'!$A$1:$U$38,MATCH($C28,'ORG-Metrics'!$A$1:$A$38,0),MATCH(M$1,'ORG-Metrics'!$1:$1,0)),"")</f>
        <v/>
      </c>
      <c r="N28" s="21" t="str">
        <f>IFERROR(INDEX('ORG-Metrics'!$A$1:$U$38,MATCH($C28,'ORG-Metrics'!$A$1:$A$38,0),MATCH(N$1,'ORG-Metrics'!$1:$1,0)),"")</f>
        <v/>
      </c>
      <c r="O28" s="21" t="str">
        <f>IFERROR(INDEX('ORG-Metrics'!$A$1:$U$38,MATCH($C28,'ORG-Metrics'!$A$1:$A$38,0),MATCH(O$1,'ORG-Metrics'!$1:$1,0)),"")</f>
        <v/>
      </c>
      <c r="P28" s="21" t="str">
        <f>IFERROR(INDEX('ORG-Metrics'!$A$1:$U$38,MATCH($C28,'ORG-Metrics'!$A$1:$A$38,0),MATCH(P$1,'ORG-Metrics'!$1:$1,0)),"")</f>
        <v/>
      </c>
      <c r="Q28" s="21" t="str">
        <f>IFERROR(INDEX('ORG-Metrics'!$A$1:$U$38,MATCH($C28,'ORG-Metrics'!$A$1:$A$38,0),MATCH(Q$1,'ORG-Metrics'!$1:$1,0)),"")</f>
        <v/>
      </c>
      <c r="R28" s="21" t="str">
        <f>IFERROR(INDEX('ORG-Metrics'!$A$1:$U$38,MATCH($C28,'ORG-Metrics'!$A$1:$A$38,0),MATCH(R$1,'ORG-Metrics'!$1:$1,0)),"")</f>
        <v/>
      </c>
      <c r="S28" s="21" t="str">
        <f>IFERROR(INDEX('ORG-Metrics'!$A$1:$U$38,MATCH($C28,'ORG-Metrics'!$A$1:$A$38,0),MATCH(S$1,'ORG-Metrics'!$1:$1,0)),"")</f>
        <v/>
      </c>
      <c r="T28" s="21" t="str">
        <f>IFERROR(INDEX('ORG-Metrics'!$A$1:$U$38,MATCH($C28,'ORG-Metrics'!$A$1:$A$38,0),MATCH(T$1,'ORG-Metrics'!$1:$1,0)),"")</f>
        <v/>
      </c>
      <c r="U28" s="21" t="str">
        <f>IFERROR(INDEX('ORG-Metrics'!$A$1:$U$38,MATCH($C28,'ORG-Metrics'!$A$1:$A$38,0),MATCH(U$1,'ORG-Metrics'!$1:$1,0)),"")</f>
        <v/>
      </c>
      <c r="V28" t="str">
        <f>IFERROR(INDEX('ORG-Metrics'!$A$1:$U$38,MATCH($C28,'ORG-Metrics'!$A$1:$A$38,0),MATCH(V$1,'ORG-Metrics'!$1:$1,0)),"")</f>
        <v/>
      </c>
      <c r="W28" t="str">
        <f>IFERROR(INDEX('ORG-Metrics'!$A$1:$U$38,MATCH($C28,'ORG-Metrics'!$A$1:$A$38,0),MATCH(W$1,'ORG-Metrics'!$1:$1,0)),"")</f>
        <v/>
      </c>
    </row>
    <row r="29" spans="1:23" x14ac:dyDescent="0.3">
      <c r="D29" s="21" t="str">
        <f>IFERROR(INDEX('ORG-Metrics'!$A$1:$U$38,MATCH($C29,'ORG-Metrics'!$A$1:$A$38,0),MATCH(D$1,'ORG-Metrics'!$1:$1,0)),"")</f>
        <v/>
      </c>
      <c r="E29" s="21" t="str">
        <f>IFERROR(INDEX('ORG-Metrics'!$A$1:$U$38,MATCH($C29,'ORG-Metrics'!$A$1:$A$38,0),MATCH(E$1,'ORG-Metrics'!$1:$1,0)),"")</f>
        <v/>
      </c>
      <c r="F29" s="21" t="str">
        <f>IFERROR(INDEX('ORG-Metrics'!$A$1:$U$38,MATCH($C29,'ORG-Metrics'!$A$1:$A$38,0),MATCH(F$1,'ORG-Metrics'!$1:$1,0)),"")</f>
        <v/>
      </c>
      <c r="G29" s="21" t="str">
        <f>IFERROR(INDEX('ORG-Metrics'!$A$1:$U$38,MATCH($C29,'ORG-Metrics'!$A$1:$A$38,0),MATCH(G$1,'ORG-Metrics'!$1:$1,0)),"")</f>
        <v/>
      </c>
      <c r="H29" s="21" t="str">
        <f>IFERROR(INDEX('ORG-Metrics'!$A$1:$U$38,MATCH($C29,'ORG-Metrics'!$A$1:$A$38,0),MATCH(H$1,'ORG-Metrics'!$1:$1,0)),"")</f>
        <v/>
      </c>
      <c r="I29" s="21" t="str">
        <f>IFERROR(INDEX('ORG-Metrics'!$A$1:$U$38,MATCH($C29,'ORG-Metrics'!$A$1:$A$38,0),MATCH(I$1,'ORG-Metrics'!$1:$1,0)),"")</f>
        <v/>
      </c>
      <c r="J29" s="21" t="str">
        <f>IFERROR(INDEX('ORG-Metrics'!$A$1:$U$38,MATCH($C29,'ORG-Metrics'!$A$1:$A$38,0),MATCH(J$1,'ORG-Metrics'!$1:$1,0)),"")</f>
        <v/>
      </c>
      <c r="K29" s="21" t="str">
        <f>IFERROR(INDEX('ORG-Metrics'!$A$1:$U$38,MATCH($C29,'ORG-Metrics'!$A$1:$A$38,0),MATCH(K$1,'ORG-Metrics'!$1:$1,0)),"")</f>
        <v/>
      </c>
      <c r="L29" s="21" t="str">
        <f>IFERROR(INDEX('ORG-Metrics'!$A$1:$U$38,MATCH($C29,'ORG-Metrics'!$A$1:$A$38,0),MATCH(L$1,'ORG-Metrics'!$1:$1,0)),"")</f>
        <v/>
      </c>
      <c r="M29" s="21" t="str">
        <f>IFERROR(INDEX('ORG-Metrics'!$A$1:$U$38,MATCH($C29,'ORG-Metrics'!$A$1:$A$38,0),MATCH(M$1,'ORG-Metrics'!$1:$1,0)),"")</f>
        <v/>
      </c>
      <c r="N29" s="21" t="str">
        <f>IFERROR(INDEX('ORG-Metrics'!$A$1:$U$38,MATCH($C29,'ORG-Metrics'!$A$1:$A$38,0),MATCH(N$1,'ORG-Metrics'!$1:$1,0)),"")</f>
        <v/>
      </c>
      <c r="O29" s="21" t="str">
        <f>IFERROR(INDEX('ORG-Metrics'!$A$1:$U$38,MATCH($C29,'ORG-Metrics'!$A$1:$A$38,0),MATCH(O$1,'ORG-Metrics'!$1:$1,0)),"")</f>
        <v/>
      </c>
      <c r="P29" s="21" t="str">
        <f>IFERROR(INDEX('ORG-Metrics'!$A$1:$U$38,MATCH($C29,'ORG-Metrics'!$A$1:$A$38,0),MATCH(P$1,'ORG-Metrics'!$1:$1,0)),"")</f>
        <v/>
      </c>
      <c r="Q29" s="21" t="str">
        <f>IFERROR(INDEX('ORG-Metrics'!$A$1:$U$38,MATCH($C29,'ORG-Metrics'!$A$1:$A$38,0),MATCH(Q$1,'ORG-Metrics'!$1:$1,0)),"")</f>
        <v/>
      </c>
      <c r="R29" s="21" t="str">
        <f>IFERROR(INDEX('ORG-Metrics'!$A$1:$U$38,MATCH($C29,'ORG-Metrics'!$A$1:$A$38,0),MATCH(R$1,'ORG-Metrics'!$1:$1,0)),"")</f>
        <v/>
      </c>
      <c r="S29" s="21" t="str">
        <f>IFERROR(INDEX('ORG-Metrics'!$A$1:$U$38,MATCH($C29,'ORG-Metrics'!$A$1:$A$38,0),MATCH(S$1,'ORG-Metrics'!$1:$1,0)),"")</f>
        <v/>
      </c>
      <c r="T29" s="21" t="str">
        <f>IFERROR(INDEX('ORG-Metrics'!$A$1:$U$38,MATCH($C29,'ORG-Metrics'!$A$1:$A$38,0),MATCH(T$1,'ORG-Metrics'!$1:$1,0)),"")</f>
        <v/>
      </c>
      <c r="U29" s="21" t="str">
        <f>IFERROR(INDEX('ORG-Metrics'!$A$1:$U$38,MATCH($C29,'ORG-Metrics'!$A$1:$A$38,0),MATCH(U$1,'ORG-Metrics'!$1:$1,0)),"")</f>
        <v/>
      </c>
      <c r="V29" t="str">
        <f>IFERROR(INDEX('ORG-Metrics'!$A$1:$U$38,MATCH($C29,'ORG-Metrics'!$A$1:$A$38,0),MATCH(V$1,'ORG-Metrics'!$1:$1,0)),"")</f>
        <v/>
      </c>
      <c r="W29" t="str">
        <f>IFERROR(INDEX('ORG-Metrics'!$A$1:$U$38,MATCH($C29,'ORG-Metrics'!$A$1:$A$38,0),MATCH(W$1,'ORG-Metrics'!$1:$1,0)),"")</f>
        <v/>
      </c>
    </row>
    <row r="30" spans="1:23" x14ac:dyDescent="0.3">
      <c r="D30" s="21" t="str">
        <f>IFERROR(INDEX('ORG-Metrics'!$A$1:$U$38,MATCH($C30,'ORG-Metrics'!$A$1:$A$38,0),MATCH(D$1,'ORG-Metrics'!$1:$1,0)),"")</f>
        <v/>
      </c>
      <c r="E30" s="21" t="str">
        <f>IFERROR(INDEX('ORG-Metrics'!$A$1:$U$38,MATCH($C30,'ORG-Metrics'!$A$1:$A$38,0),MATCH(E$1,'ORG-Metrics'!$1:$1,0)),"")</f>
        <v/>
      </c>
      <c r="F30" s="21" t="str">
        <f>IFERROR(INDEX('ORG-Metrics'!$A$1:$U$38,MATCH($C30,'ORG-Metrics'!$A$1:$A$38,0),MATCH(F$1,'ORG-Metrics'!$1:$1,0)),"")</f>
        <v/>
      </c>
      <c r="G30" s="21" t="str">
        <f>IFERROR(INDEX('ORG-Metrics'!$A$1:$U$38,MATCH($C30,'ORG-Metrics'!$A$1:$A$38,0),MATCH(G$1,'ORG-Metrics'!$1:$1,0)),"")</f>
        <v/>
      </c>
      <c r="H30" s="21" t="str">
        <f>IFERROR(INDEX('ORG-Metrics'!$A$1:$U$38,MATCH($C30,'ORG-Metrics'!$A$1:$A$38,0),MATCH(H$1,'ORG-Metrics'!$1:$1,0)),"")</f>
        <v/>
      </c>
      <c r="I30" s="21" t="str">
        <f>IFERROR(INDEX('ORG-Metrics'!$A$1:$U$38,MATCH($C30,'ORG-Metrics'!$A$1:$A$38,0),MATCH(I$1,'ORG-Metrics'!$1:$1,0)),"")</f>
        <v/>
      </c>
      <c r="J30" s="21" t="str">
        <f>IFERROR(INDEX('ORG-Metrics'!$A$1:$U$38,MATCH($C30,'ORG-Metrics'!$A$1:$A$38,0),MATCH(J$1,'ORG-Metrics'!$1:$1,0)),"")</f>
        <v/>
      </c>
      <c r="K30" s="21" t="str">
        <f>IFERROR(INDEX('ORG-Metrics'!$A$1:$U$38,MATCH($C30,'ORG-Metrics'!$A$1:$A$38,0),MATCH(K$1,'ORG-Metrics'!$1:$1,0)),"")</f>
        <v/>
      </c>
      <c r="L30" s="21" t="str">
        <f>IFERROR(INDEX('ORG-Metrics'!$A$1:$U$38,MATCH($C30,'ORG-Metrics'!$A$1:$A$38,0),MATCH(L$1,'ORG-Metrics'!$1:$1,0)),"")</f>
        <v/>
      </c>
      <c r="M30" s="21" t="str">
        <f>IFERROR(INDEX('ORG-Metrics'!$A$1:$U$38,MATCH($C30,'ORG-Metrics'!$A$1:$A$38,0),MATCH(M$1,'ORG-Metrics'!$1:$1,0)),"")</f>
        <v/>
      </c>
      <c r="N30" s="21" t="str">
        <f>IFERROR(INDEX('ORG-Metrics'!$A$1:$U$38,MATCH($C30,'ORG-Metrics'!$A$1:$A$38,0),MATCH(N$1,'ORG-Metrics'!$1:$1,0)),"")</f>
        <v/>
      </c>
      <c r="O30" s="21" t="str">
        <f>IFERROR(INDEX('ORG-Metrics'!$A$1:$U$38,MATCH($C30,'ORG-Metrics'!$A$1:$A$38,0),MATCH(O$1,'ORG-Metrics'!$1:$1,0)),"")</f>
        <v/>
      </c>
      <c r="P30" s="21" t="str">
        <f>IFERROR(INDEX('ORG-Metrics'!$A$1:$U$38,MATCH($C30,'ORG-Metrics'!$A$1:$A$38,0),MATCH(P$1,'ORG-Metrics'!$1:$1,0)),"")</f>
        <v/>
      </c>
      <c r="Q30" s="21" t="str">
        <f>IFERROR(INDEX('ORG-Metrics'!$A$1:$U$38,MATCH($C30,'ORG-Metrics'!$A$1:$A$38,0),MATCH(Q$1,'ORG-Metrics'!$1:$1,0)),"")</f>
        <v/>
      </c>
      <c r="R30" s="21" t="str">
        <f>IFERROR(INDEX('ORG-Metrics'!$A$1:$U$38,MATCH($C30,'ORG-Metrics'!$A$1:$A$38,0),MATCH(R$1,'ORG-Metrics'!$1:$1,0)),"")</f>
        <v/>
      </c>
      <c r="S30" s="21" t="str">
        <f>IFERROR(INDEX('ORG-Metrics'!$A$1:$U$38,MATCH($C30,'ORG-Metrics'!$A$1:$A$38,0),MATCH(S$1,'ORG-Metrics'!$1:$1,0)),"")</f>
        <v/>
      </c>
      <c r="T30" s="21" t="str">
        <f>IFERROR(INDEX('ORG-Metrics'!$A$1:$U$38,MATCH($C30,'ORG-Metrics'!$A$1:$A$38,0),MATCH(T$1,'ORG-Metrics'!$1:$1,0)),"")</f>
        <v/>
      </c>
      <c r="U30" s="21" t="str">
        <f>IFERROR(INDEX('ORG-Metrics'!$A$1:$U$38,MATCH($C30,'ORG-Metrics'!$A$1:$A$38,0),MATCH(U$1,'ORG-Metrics'!$1:$1,0)),"")</f>
        <v/>
      </c>
      <c r="V30" t="str">
        <f>IFERROR(INDEX('ORG-Metrics'!$A$1:$U$38,MATCH($C30,'ORG-Metrics'!$A$1:$A$38,0),MATCH(V$1,'ORG-Metrics'!$1:$1,0)),"")</f>
        <v/>
      </c>
      <c r="W30" t="str">
        <f>IFERROR(INDEX('ORG-Metrics'!$A$1:$U$38,MATCH($C30,'ORG-Metrics'!$A$1:$A$38,0),MATCH(W$1,'ORG-Metrics'!$1:$1,0)),"")</f>
        <v/>
      </c>
    </row>
    <row r="31" spans="1:23" x14ac:dyDescent="0.3">
      <c r="D31" s="21" t="str">
        <f>IFERROR(INDEX('ORG-Metrics'!$A$1:$U$38,MATCH($C31,'ORG-Metrics'!$A$1:$A$38,0),MATCH(D$1,'ORG-Metrics'!$1:$1,0)),"")</f>
        <v/>
      </c>
      <c r="E31" s="21" t="str">
        <f>IFERROR(INDEX('ORG-Metrics'!$A$1:$U$38,MATCH($C31,'ORG-Metrics'!$A$1:$A$38,0),MATCH(E$1,'ORG-Metrics'!$1:$1,0)),"")</f>
        <v/>
      </c>
      <c r="F31" s="21" t="str">
        <f>IFERROR(INDEX('ORG-Metrics'!$A$1:$U$38,MATCH($C31,'ORG-Metrics'!$A$1:$A$38,0),MATCH(F$1,'ORG-Metrics'!$1:$1,0)),"")</f>
        <v/>
      </c>
      <c r="G31" s="21" t="str">
        <f>IFERROR(INDEX('ORG-Metrics'!$A$1:$U$38,MATCH($C31,'ORG-Metrics'!$A$1:$A$38,0),MATCH(G$1,'ORG-Metrics'!$1:$1,0)),"")</f>
        <v/>
      </c>
      <c r="H31" s="21" t="str">
        <f>IFERROR(INDEX('ORG-Metrics'!$A$1:$U$38,MATCH($C31,'ORG-Metrics'!$A$1:$A$38,0),MATCH(H$1,'ORG-Metrics'!$1:$1,0)),"")</f>
        <v/>
      </c>
      <c r="I31" s="21" t="str">
        <f>IFERROR(INDEX('ORG-Metrics'!$A$1:$U$38,MATCH($C31,'ORG-Metrics'!$A$1:$A$38,0),MATCH(I$1,'ORG-Metrics'!$1:$1,0)),"")</f>
        <v/>
      </c>
      <c r="J31" s="21" t="str">
        <f>IFERROR(INDEX('ORG-Metrics'!$A$1:$U$38,MATCH($C31,'ORG-Metrics'!$A$1:$A$38,0),MATCH(J$1,'ORG-Metrics'!$1:$1,0)),"")</f>
        <v/>
      </c>
      <c r="K31" s="21" t="str">
        <f>IFERROR(INDEX('ORG-Metrics'!$A$1:$U$38,MATCH($C31,'ORG-Metrics'!$A$1:$A$38,0),MATCH(K$1,'ORG-Metrics'!$1:$1,0)),"")</f>
        <v/>
      </c>
      <c r="L31" s="21" t="str">
        <f>IFERROR(INDEX('ORG-Metrics'!$A$1:$U$38,MATCH($C31,'ORG-Metrics'!$A$1:$A$38,0),MATCH(L$1,'ORG-Metrics'!$1:$1,0)),"")</f>
        <v/>
      </c>
      <c r="M31" s="21" t="str">
        <f>IFERROR(INDEX('ORG-Metrics'!$A$1:$U$38,MATCH($C31,'ORG-Metrics'!$A$1:$A$38,0),MATCH(M$1,'ORG-Metrics'!$1:$1,0)),"")</f>
        <v/>
      </c>
      <c r="N31" s="21" t="str">
        <f>IFERROR(INDEX('ORG-Metrics'!$A$1:$U$38,MATCH($C31,'ORG-Metrics'!$A$1:$A$38,0),MATCH(N$1,'ORG-Metrics'!$1:$1,0)),"")</f>
        <v/>
      </c>
      <c r="O31" s="21" t="str">
        <f>IFERROR(INDEX('ORG-Metrics'!$A$1:$U$38,MATCH($C31,'ORG-Metrics'!$A$1:$A$38,0),MATCH(O$1,'ORG-Metrics'!$1:$1,0)),"")</f>
        <v/>
      </c>
      <c r="P31" s="21" t="str">
        <f>IFERROR(INDEX('ORG-Metrics'!$A$1:$U$38,MATCH($C31,'ORG-Metrics'!$A$1:$A$38,0),MATCH(P$1,'ORG-Metrics'!$1:$1,0)),"")</f>
        <v/>
      </c>
      <c r="Q31" s="21" t="str">
        <f>IFERROR(INDEX('ORG-Metrics'!$A$1:$U$38,MATCH($C31,'ORG-Metrics'!$A$1:$A$38,0),MATCH(Q$1,'ORG-Metrics'!$1:$1,0)),"")</f>
        <v/>
      </c>
      <c r="R31" s="21" t="str">
        <f>IFERROR(INDEX('ORG-Metrics'!$A$1:$U$38,MATCH($C31,'ORG-Metrics'!$A$1:$A$38,0),MATCH(R$1,'ORG-Metrics'!$1:$1,0)),"")</f>
        <v/>
      </c>
      <c r="S31" s="21" t="str">
        <f>IFERROR(INDEX('ORG-Metrics'!$A$1:$U$38,MATCH($C31,'ORG-Metrics'!$A$1:$A$38,0),MATCH(S$1,'ORG-Metrics'!$1:$1,0)),"")</f>
        <v/>
      </c>
      <c r="T31" s="21" t="str">
        <f>IFERROR(INDEX('ORG-Metrics'!$A$1:$U$38,MATCH($C31,'ORG-Metrics'!$A$1:$A$38,0),MATCH(T$1,'ORG-Metrics'!$1:$1,0)),"")</f>
        <v/>
      </c>
      <c r="U31" s="21" t="str">
        <f>IFERROR(INDEX('ORG-Metrics'!$A$1:$U$38,MATCH($C31,'ORG-Metrics'!$A$1:$A$38,0),MATCH(U$1,'ORG-Metrics'!$1:$1,0)),"")</f>
        <v/>
      </c>
      <c r="V31" t="str">
        <f>IFERROR(INDEX('ORG-Metrics'!$A$1:$U$38,MATCH($C31,'ORG-Metrics'!$A$1:$A$38,0),MATCH(V$1,'ORG-Metrics'!$1:$1,0)),"")</f>
        <v/>
      </c>
      <c r="W31" t="str">
        <f>IFERROR(INDEX('ORG-Metrics'!$A$1:$U$38,MATCH($C31,'ORG-Metrics'!$A$1:$A$38,0),MATCH(W$1,'ORG-Metrics'!$1:$1,0)),"")</f>
        <v/>
      </c>
    </row>
    <row r="32" spans="1:23" x14ac:dyDescent="0.3">
      <c r="D32" s="21" t="str">
        <f>IFERROR(INDEX('ORG-Metrics'!$A$1:$U$38,MATCH($C32,'ORG-Metrics'!$A$1:$A$38,0),MATCH(D$1,'ORG-Metrics'!$1:$1,0)),"")</f>
        <v/>
      </c>
      <c r="E32" s="21" t="str">
        <f>IFERROR(INDEX('ORG-Metrics'!$A$1:$U$38,MATCH($C32,'ORG-Metrics'!$A$1:$A$38,0),MATCH(E$1,'ORG-Metrics'!$1:$1,0)),"")</f>
        <v/>
      </c>
      <c r="F32" s="21" t="str">
        <f>IFERROR(INDEX('ORG-Metrics'!$A$1:$U$38,MATCH($C32,'ORG-Metrics'!$A$1:$A$38,0),MATCH(F$1,'ORG-Metrics'!$1:$1,0)),"")</f>
        <v/>
      </c>
      <c r="G32" s="21" t="str">
        <f>IFERROR(INDEX('ORG-Metrics'!$A$1:$U$38,MATCH($C32,'ORG-Metrics'!$A$1:$A$38,0),MATCH(G$1,'ORG-Metrics'!$1:$1,0)),"")</f>
        <v/>
      </c>
      <c r="H32" s="21" t="str">
        <f>IFERROR(INDEX('ORG-Metrics'!$A$1:$U$38,MATCH($C32,'ORG-Metrics'!$A$1:$A$38,0),MATCH(H$1,'ORG-Metrics'!$1:$1,0)),"")</f>
        <v/>
      </c>
      <c r="I32" s="21" t="str">
        <f>IFERROR(INDEX('ORG-Metrics'!$A$1:$U$38,MATCH($C32,'ORG-Metrics'!$A$1:$A$38,0),MATCH(I$1,'ORG-Metrics'!$1:$1,0)),"")</f>
        <v/>
      </c>
      <c r="J32" s="21" t="str">
        <f>IFERROR(INDEX('ORG-Metrics'!$A$1:$U$38,MATCH($C32,'ORG-Metrics'!$A$1:$A$38,0),MATCH(J$1,'ORG-Metrics'!$1:$1,0)),"")</f>
        <v/>
      </c>
      <c r="K32" s="21" t="str">
        <f>IFERROR(INDEX('ORG-Metrics'!$A$1:$U$38,MATCH($C32,'ORG-Metrics'!$A$1:$A$38,0),MATCH(K$1,'ORG-Metrics'!$1:$1,0)),"")</f>
        <v/>
      </c>
      <c r="L32" s="21" t="str">
        <f>IFERROR(INDEX('ORG-Metrics'!$A$1:$U$38,MATCH($C32,'ORG-Metrics'!$A$1:$A$38,0),MATCH(L$1,'ORG-Metrics'!$1:$1,0)),"")</f>
        <v/>
      </c>
      <c r="M32" s="21" t="str">
        <f>IFERROR(INDEX('ORG-Metrics'!$A$1:$U$38,MATCH($C32,'ORG-Metrics'!$A$1:$A$38,0),MATCH(M$1,'ORG-Metrics'!$1:$1,0)),"")</f>
        <v/>
      </c>
      <c r="N32" s="21" t="str">
        <f>IFERROR(INDEX('ORG-Metrics'!$A$1:$U$38,MATCH($C32,'ORG-Metrics'!$A$1:$A$38,0),MATCH(N$1,'ORG-Metrics'!$1:$1,0)),"")</f>
        <v/>
      </c>
      <c r="O32" s="21" t="str">
        <f>IFERROR(INDEX('ORG-Metrics'!$A$1:$U$38,MATCH($C32,'ORG-Metrics'!$A$1:$A$38,0),MATCH(O$1,'ORG-Metrics'!$1:$1,0)),"")</f>
        <v/>
      </c>
      <c r="P32" s="21" t="str">
        <f>IFERROR(INDEX('ORG-Metrics'!$A$1:$U$38,MATCH($C32,'ORG-Metrics'!$A$1:$A$38,0),MATCH(P$1,'ORG-Metrics'!$1:$1,0)),"")</f>
        <v/>
      </c>
      <c r="Q32" s="21" t="str">
        <f>IFERROR(INDEX('ORG-Metrics'!$A$1:$U$38,MATCH($C32,'ORG-Metrics'!$A$1:$A$38,0),MATCH(Q$1,'ORG-Metrics'!$1:$1,0)),"")</f>
        <v/>
      </c>
      <c r="R32" s="21" t="str">
        <f>IFERROR(INDEX('ORG-Metrics'!$A$1:$U$38,MATCH($C32,'ORG-Metrics'!$A$1:$A$38,0),MATCH(R$1,'ORG-Metrics'!$1:$1,0)),"")</f>
        <v/>
      </c>
      <c r="S32" s="21" t="str">
        <f>IFERROR(INDEX('ORG-Metrics'!$A$1:$U$38,MATCH($C32,'ORG-Metrics'!$A$1:$A$38,0),MATCH(S$1,'ORG-Metrics'!$1:$1,0)),"")</f>
        <v/>
      </c>
      <c r="T32" s="21" t="str">
        <f>IFERROR(INDEX('ORG-Metrics'!$A$1:$U$38,MATCH($C32,'ORG-Metrics'!$A$1:$A$38,0),MATCH(T$1,'ORG-Metrics'!$1:$1,0)),"")</f>
        <v/>
      </c>
      <c r="U32" s="21" t="str">
        <f>IFERROR(INDEX('ORG-Metrics'!$A$1:$U$38,MATCH($C32,'ORG-Metrics'!$A$1:$A$38,0),MATCH(U$1,'ORG-Metrics'!$1:$1,0)),"")</f>
        <v/>
      </c>
      <c r="V32" t="str">
        <f>IFERROR(INDEX('ORG-Metrics'!$A$1:$U$38,MATCH($C32,'ORG-Metrics'!$A$1:$A$38,0),MATCH(V$1,'ORG-Metrics'!$1:$1,0)),"")</f>
        <v/>
      </c>
      <c r="W32" t="str">
        <f>IFERROR(INDEX('ORG-Metrics'!$A$1:$U$38,MATCH($C32,'ORG-Metrics'!$A$1:$A$38,0),MATCH(W$1,'ORG-Metrics'!$1:$1,0)),"")</f>
        <v/>
      </c>
    </row>
    <row r="33" spans="4:23" x14ac:dyDescent="0.3">
      <c r="D33" s="21" t="str">
        <f>IFERROR(INDEX('ORG-Metrics'!$A$1:$U$38,MATCH($C33,'ORG-Metrics'!$A$1:$A$38,0),MATCH(D$1,'ORG-Metrics'!$1:$1,0)),"")</f>
        <v/>
      </c>
      <c r="E33" s="21" t="str">
        <f>IFERROR(INDEX('ORG-Metrics'!$A$1:$U$38,MATCH($C33,'ORG-Metrics'!$A$1:$A$38,0),MATCH(E$1,'ORG-Metrics'!$1:$1,0)),"")</f>
        <v/>
      </c>
      <c r="F33" s="21" t="str">
        <f>IFERROR(INDEX('ORG-Metrics'!$A$1:$U$38,MATCH($C33,'ORG-Metrics'!$A$1:$A$38,0),MATCH(F$1,'ORG-Metrics'!$1:$1,0)),"")</f>
        <v/>
      </c>
      <c r="G33" s="21" t="str">
        <f>IFERROR(INDEX('ORG-Metrics'!$A$1:$U$38,MATCH($C33,'ORG-Metrics'!$A$1:$A$38,0),MATCH(G$1,'ORG-Metrics'!$1:$1,0)),"")</f>
        <v/>
      </c>
      <c r="H33" s="21" t="str">
        <f>IFERROR(INDEX('ORG-Metrics'!$A$1:$U$38,MATCH($C33,'ORG-Metrics'!$A$1:$A$38,0),MATCH(H$1,'ORG-Metrics'!$1:$1,0)),"")</f>
        <v/>
      </c>
      <c r="I33" s="21" t="str">
        <f>IFERROR(INDEX('ORG-Metrics'!$A$1:$U$38,MATCH($C33,'ORG-Metrics'!$A$1:$A$38,0),MATCH(I$1,'ORG-Metrics'!$1:$1,0)),"")</f>
        <v/>
      </c>
      <c r="J33" s="21" t="str">
        <f>IFERROR(INDEX('ORG-Metrics'!$A$1:$U$38,MATCH($C33,'ORG-Metrics'!$A$1:$A$38,0),MATCH(J$1,'ORG-Metrics'!$1:$1,0)),"")</f>
        <v/>
      </c>
      <c r="K33" s="21" t="str">
        <f>IFERROR(INDEX('ORG-Metrics'!$A$1:$U$38,MATCH($C33,'ORG-Metrics'!$A$1:$A$38,0),MATCH(K$1,'ORG-Metrics'!$1:$1,0)),"")</f>
        <v/>
      </c>
      <c r="L33" s="21" t="str">
        <f>IFERROR(INDEX('ORG-Metrics'!$A$1:$U$38,MATCH($C33,'ORG-Metrics'!$A$1:$A$38,0),MATCH(L$1,'ORG-Metrics'!$1:$1,0)),"")</f>
        <v/>
      </c>
      <c r="M33" s="21" t="str">
        <f>IFERROR(INDEX('ORG-Metrics'!$A$1:$U$38,MATCH($C33,'ORG-Metrics'!$A$1:$A$38,0),MATCH(M$1,'ORG-Metrics'!$1:$1,0)),"")</f>
        <v/>
      </c>
      <c r="N33" s="21" t="str">
        <f>IFERROR(INDEX('ORG-Metrics'!$A$1:$U$38,MATCH($C33,'ORG-Metrics'!$A$1:$A$38,0),MATCH(N$1,'ORG-Metrics'!$1:$1,0)),"")</f>
        <v/>
      </c>
      <c r="O33" s="21" t="str">
        <f>IFERROR(INDEX('ORG-Metrics'!$A$1:$U$38,MATCH($C33,'ORG-Metrics'!$A$1:$A$38,0),MATCH(O$1,'ORG-Metrics'!$1:$1,0)),"")</f>
        <v/>
      </c>
      <c r="P33" s="21" t="str">
        <f>IFERROR(INDEX('ORG-Metrics'!$A$1:$U$38,MATCH($C33,'ORG-Metrics'!$A$1:$A$38,0),MATCH(P$1,'ORG-Metrics'!$1:$1,0)),"")</f>
        <v/>
      </c>
      <c r="Q33" s="21" t="str">
        <f>IFERROR(INDEX('ORG-Metrics'!$A$1:$U$38,MATCH($C33,'ORG-Metrics'!$A$1:$A$38,0),MATCH(Q$1,'ORG-Metrics'!$1:$1,0)),"")</f>
        <v/>
      </c>
      <c r="R33" s="21" t="str">
        <f>IFERROR(INDEX('ORG-Metrics'!$A$1:$U$38,MATCH($C33,'ORG-Metrics'!$A$1:$A$38,0),MATCH(R$1,'ORG-Metrics'!$1:$1,0)),"")</f>
        <v/>
      </c>
      <c r="S33" s="21" t="str">
        <f>IFERROR(INDEX('ORG-Metrics'!$A$1:$U$38,MATCH($C33,'ORG-Metrics'!$A$1:$A$38,0),MATCH(S$1,'ORG-Metrics'!$1:$1,0)),"")</f>
        <v/>
      </c>
      <c r="T33" s="21" t="str">
        <f>IFERROR(INDEX('ORG-Metrics'!$A$1:$U$38,MATCH($C33,'ORG-Metrics'!$A$1:$A$38,0),MATCH(T$1,'ORG-Metrics'!$1:$1,0)),"")</f>
        <v/>
      </c>
      <c r="U33" s="21" t="str">
        <f>IFERROR(INDEX('ORG-Metrics'!$A$1:$U$38,MATCH($C33,'ORG-Metrics'!$A$1:$A$38,0),MATCH(U$1,'ORG-Metrics'!$1:$1,0)),"")</f>
        <v/>
      </c>
      <c r="V33" t="str">
        <f>IFERROR(INDEX('ORG-Metrics'!$A$1:$U$38,MATCH($C33,'ORG-Metrics'!$A$1:$A$38,0),MATCH(V$1,'ORG-Metrics'!$1:$1,0)),"")</f>
        <v/>
      </c>
      <c r="W33" t="str">
        <f>IFERROR(INDEX('ORG-Metrics'!$A$1:$U$38,MATCH($C33,'ORG-Metrics'!$A$1:$A$38,0),MATCH(W$1,'ORG-Metrics'!$1:$1,0)),"")</f>
        <v/>
      </c>
    </row>
    <row r="34" spans="4:23" x14ac:dyDescent="0.3">
      <c r="D34" s="21" t="str">
        <f>IFERROR(INDEX('ORG-Metrics'!$A$1:$U$38,MATCH($C34,'ORG-Metrics'!$A$1:$A$38,0),MATCH(D$1,'ORG-Metrics'!$1:$1,0)),"")</f>
        <v/>
      </c>
      <c r="E34" s="21" t="str">
        <f>IFERROR(INDEX('ORG-Metrics'!$A$1:$U$38,MATCH($C34,'ORG-Metrics'!$A$1:$A$38,0),MATCH(E$1,'ORG-Metrics'!$1:$1,0)),"")</f>
        <v/>
      </c>
      <c r="F34" s="21" t="str">
        <f>IFERROR(INDEX('ORG-Metrics'!$A$1:$U$38,MATCH($C34,'ORG-Metrics'!$A$1:$A$38,0),MATCH(F$1,'ORG-Metrics'!$1:$1,0)),"")</f>
        <v/>
      </c>
      <c r="G34" s="21" t="str">
        <f>IFERROR(INDEX('ORG-Metrics'!$A$1:$U$38,MATCH($C34,'ORG-Metrics'!$A$1:$A$38,0),MATCH(G$1,'ORG-Metrics'!$1:$1,0)),"")</f>
        <v/>
      </c>
      <c r="H34" s="21" t="str">
        <f>IFERROR(INDEX('ORG-Metrics'!$A$1:$U$38,MATCH($C34,'ORG-Metrics'!$A$1:$A$38,0),MATCH(H$1,'ORG-Metrics'!$1:$1,0)),"")</f>
        <v/>
      </c>
      <c r="I34" s="21" t="str">
        <f>IFERROR(INDEX('ORG-Metrics'!$A$1:$U$38,MATCH($C34,'ORG-Metrics'!$A$1:$A$38,0),MATCH(I$1,'ORG-Metrics'!$1:$1,0)),"")</f>
        <v/>
      </c>
      <c r="J34" s="21" t="str">
        <f>IFERROR(INDEX('ORG-Metrics'!$A$1:$U$38,MATCH($C34,'ORG-Metrics'!$A$1:$A$38,0),MATCH(J$1,'ORG-Metrics'!$1:$1,0)),"")</f>
        <v/>
      </c>
      <c r="K34" s="21" t="str">
        <f>IFERROR(INDEX('ORG-Metrics'!$A$1:$U$38,MATCH($C34,'ORG-Metrics'!$A$1:$A$38,0),MATCH(K$1,'ORG-Metrics'!$1:$1,0)),"")</f>
        <v/>
      </c>
      <c r="L34" s="21" t="str">
        <f>IFERROR(INDEX('ORG-Metrics'!$A$1:$U$38,MATCH($C34,'ORG-Metrics'!$A$1:$A$38,0),MATCH(L$1,'ORG-Metrics'!$1:$1,0)),"")</f>
        <v/>
      </c>
      <c r="M34" s="21" t="str">
        <f>IFERROR(INDEX('ORG-Metrics'!$A$1:$U$38,MATCH($C34,'ORG-Metrics'!$A$1:$A$38,0),MATCH(M$1,'ORG-Metrics'!$1:$1,0)),"")</f>
        <v/>
      </c>
      <c r="N34" s="21" t="str">
        <f>IFERROR(INDEX('ORG-Metrics'!$A$1:$U$38,MATCH($C34,'ORG-Metrics'!$A$1:$A$38,0),MATCH(N$1,'ORG-Metrics'!$1:$1,0)),"")</f>
        <v/>
      </c>
      <c r="O34" s="21" t="str">
        <f>IFERROR(INDEX('ORG-Metrics'!$A$1:$U$38,MATCH($C34,'ORG-Metrics'!$A$1:$A$38,0),MATCH(O$1,'ORG-Metrics'!$1:$1,0)),"")</f>
        <v/>
      </c>
      <c r="P34" s="21" t="str">
        <f>IFERROR(INDEX('ORG-Metrics'!$A$1:$U$38,MATCH($C34,'ORG-Metrics'!$A$1:$A$38,0),MATCH(P$1,'ORG-Metrics'!$1:$1,0)),"")</f>
        <v/>
      </c>
      <c r="Q34" s="21" t="str">
        <f>IFERROR(INDEX('ORG-Metrics'!$A$1:$U$38,MATCH($C34,'ORG-Metrics'!$A$1:$A$38,0),MATCH(Q$1,'ORG-Metrics'!$1:$1,0)),"")</f>
        <v/>
      </c>
      <c r="R34" s="21" t="str">
        <f>IFERROR(INDEX('ORG-Metrics'!$A$1:$U$38,MATCH($C34,'ORG-Metrics'!$A$1:$A$38,0),MATCH(R$1,'ORG-Metrics'!$1:$1,0)),"")</f>
        <v/>
      </c>
      <c r="S34" s="21" t="str">
        <f>IFERROR(INDEX('ORG-Metrics'!$A$1:$U$38,MATCH($C34,'ORG-Metrics'!$A$1:$A$38,0),MATCH(S$1,'ORG-Metrics'!$1:$1,0)),"")</f>
        <v/>
      </c>
      <c r="T34" s="21" t="str">
        <f>IFERROR(INDEX('ORG-Metrics'!$A$1:$U$38,MATCH($C34,'ORG-Metrics'!$A$1:$A$38,0),MATCH(T$1,'ORG-Metrics'!$1:$1,0)),"")</f>
        <v/>
      </c>
      <c r="U34" s="21" t="str">
        <f>IFERROR(INDEX('ORG-Metrics'!$A$1:$U$38,MATCH($C34,'ORG-Metrics'!$A$1:$A$38,0),MATCH(U$1,'ORG-Metrics'!$1:$1,0)),"")</f>
        <v/>
      </c>
      <c r="V34" t="str">
        <f>IFERROR(INDEX('ORG-Metrics'!$A$1:$U$38,MATCH($C34,'ORG-Metrics'!$A$1:$A$38,0),MATCH(V$1,'ORG-Metrics'!$1:$1,0)),"")</f>
        <v/>
      </c>
      <c r="W34" t="str">
        <f>IFERROR(INDEX('ORG-Metrics'!$A$1:$U$38,MATCH($C34,'ORG-Metrics'!$A$1:$A$38,0),MATCH(W$1,'ORG-Metrics'!$1:$1,0)),"")</f>
        <v/>
      </c>
    </row>
    <row r="35" spans="4:23" x14ac:dyDescent="0.3">
      <c r="D35" s="21" t="str">
        <f>IFERROR(INDEX('ORG-Metrics'!$A$1:$U$38,MATCH($C35,'ORG-Metrics'!$A$1:$A$38,0),MATCH(D$1,'ORG-Metrics'!$1:$1,0)),"")</f>
        <v/>
      </c>
      <c r="E35" s="21" t="str">
        <f>IFERROR(INDEX('ORG-Metrics'!$A$1:$U$38,MATCH($C35,'ORG-Metrics'!$A$1:$A$38,0),MATCH(E$1,'ORG-Metrics'!$1:$1,0)),"")</f>
        <v/>
      </c>
      <c r="F35" s="21" t="str">
        <f>IFERROR(INDEX('ORG-Metrics'!$A$1:$U$38,MATCH($C35,'ORG-Metrics'!$A$1:$A$38,0),MATCH(F$1,'ORG-Metrics'!$1:$1,0)),"")</f>
        <v/>
      </c>
      <c r="G35" s="21" t="str">
        <f>IFERROR(INDEX('ORG-Metrics'!$A$1:$U$38,MATCH($C35,'ORG-Metrics'!$A$1:$A$38,0),MATCH(G$1,'ORG-Metrics'!$1:$1,0)),"")</f>
        <v/>
      </c>
      <c r="H35" s="21" t="str">
        <f>IFERROR(INDEX('ORG-Metrics'!$A$1:$U$38,MATCH($C35,'ORG-Metrics'!$A$1:$A$38,0),MATCH(H$1,'ORG-Metrics'!$1:$1,0)),"")</f>
        <v/>
      </c>
      <c r="I35" s="21" t="str">
        <f>IFERROR(INDEX('ORG-Metrics'!$A$1:$U$38,MATCH($C35,'ORG-Metrics'!$A$1:$A$38,0),MATCH(I$1,'ORG-Metrics'!$1:$1,0)),"")</f>
        <v/>
      </c>
      <c r="J35" s="21" t="str">
        <f>IFERROR(INDEX('ORG-Metrics'!$A$1:$U$38,MATCH($C35,'ORG-Metrics'!$A$1:$A$38,0),MATCH(J$1,'ORG-Metrics'!$1:$1,0)),"")</f>
        <v/>
      </c>
      <c r="K35" s="21" t="str">
        <f>IFERROR(INDEX('ORG-Metrics'!$A$1:$U$38,MATCH($C35,'ORG-Metrics'!$A$1:$A$38,0),MATCH(K$1,'ORG-Metrics'!$1:$1,0)),"")</f>
        <v/>
      </c>
      <c r="L35" s="21" t="str">
        <f>IFERROR(INDEX('ORG-Metrics'!$A$1:$U$38,MATCH($C35,'ORG-Metrics'!$A$1:$A$38,0),MATCH(L$1,'ORG-Metrics'!$1:$1,0)),"")</f>
        <v/>
      </c>
      <c r="M35" s="21" t="str">
        <f>IFERROR(INDEX('ORG-Metrics'!$A$1:$U$38,MATCH($C35,'ORG-Metrics'!$A$1:$A$38,0),MATCH(M$1,'ORG-Metrics'!$1:$1,0)),"")</f>
        <v/>
      </c>
      <c r="N35" s="21" t="str">
        <f>IFERROR(INDEX('ORG-Metrics'!$A$1:$U$38,MATCH($C35,'ORG-Metrics'!$A$1:$A$38,0),MATCH(N$1,'ORG-Metrics'!$1:$1,0)),"")</f>
        <v/>
      </c>
      <c r="O35" s="21" t="str">
        <f>IFERROR(INDEX('ORG-Metrics'!$A$1:$U$38,MATCH($C35,'ORG-Metrics'!$A$1:$A$38,0),MATCH(O$1,'ORG-Metrics'!$1:$1,0)),"")</f>
        <v/>
      </c>
      <c r="P35" s="21" t="str">
        <f>IFERROR(INDEX('ORG-Metrics'!$A$1:$U$38,MATCH($C35,'ORG-Metrics'!$A$1:$A$38,0),MATCH(P$1,'ORG-Metrics'!$1:$1,0)),"")</f>
        <v/>
      </c>
      <c r="Q35" s="21" t="str">
        <f>IFERROR(INDEX('ORG-Metrics'!$A$1:$U$38,MATCH($C35,'ORG-Metrics'!$A$1:$A$38,0),MATCH(Q$1,'ORG-Metrics'!$1:$1,0)),"")</f>
        <v/>
      </c>
      <c r="R35" s="21" t="str">
        <f>IFERROR(INDEX('ORG-Metrics'!$A$1:$U$38,MATCH($C35,'ORG-Metrics'!$A$1:$A$38,0),MATCH(R$1,'ORG-Metrics'!$1:$1,0)),"")</f>
        <v/>
      </c>
      <c r="S35" s="21" t="str">
        <f>IFERROR(INDEX('ORG-Metrics'!$A$1:$U$38,MATCH($C35,'ORG-Metrics'!$A$1:$A$38,0),MATCH(S$1,'ORG-Metrics'!$1:$1,0)),"")</f>
        <v/>
      </c>
      <c r="T35" s="21" t="str">
        <f>IFERROR(INDEX('ORG-Metrics'!$A$1:$U$38,MATCH($C35,'ORG-Metrics'!$A$1:$A$38,0),MATCH(T$1,'ORG-Metrics'!$1:$1,0)),"")</f>
        <v/>
      </c>
      <c r="U35" s="21" t="str">
        <f>IFERROR(INDEX('ORG-Metrics'!$A$1:$U$38,MATCH($C35,'ORG-Metrics'!$A$1:$A$38,0),MATCH(U$1,'ORG-Metrics'!$1:$1,0)),"")</f>
        <v/>
      </c>
      <c r="V35" t="str">
        <f>IFERROR(INDEX('ORG-Metrics'!$A$1:$U$38,MATCH($C35,'ORG-Metrics'!$A$1:$A$38,0),MATCH(V$1,'ORG-Metrics'!$1:$1,0)),"")</f>
        <v/>
      </c>
      <c r="W35" t="str">
        <f>IFERROR(INDEX('ORG-Metrics'!$A$1:$U$38,MATCH($C35,'ORG-Metrics'!$A$1:$A$38,0),MATCH(W$1,'ORG-Metrics'!$1:$1,0)),"")</f>
        <v/>
      </c>
    </row>
    <row r="36" spans="4:23" x14ac:dyDescent="0.3">
      <c r="D36" s="21" t="str">
        <f>IFERROR(INDEX('ORG-Metrics'!$A$1:$U$38,MATCH($C36,'ORG-Metrics'!$A$1:$A$38,0),MATCH(D$1,'ORG-Metrics'!$1:$1,0)),"")</f>
        <v/>
      </c>
      <c r="E36" s="21" t="str">
        <f>IFERROR(INDEX('ORG-Metrics'!$A$1:$U$38,MATCH($C36,'ORG-Metrics'!$A$1:$A$38,0),MATCH(E$1,'ORG-Metrics'!$1:$1,0)),"")</f>
        <v/>
      </c>
      <c r="F36" s="21" t="str">
        <f>IFERROR(INDEX('ORG-Metrics'!$A$1:$U$38,MATCH($C36,'ORG-Metrics'!$A$1:$A$38,0),MATCH(F$1,'ORG-Metrics'!$1:$1,0)),"")</f>
        <v/>
      </c>
      <c r="G36" s="21" t="str">
        <f>IFERROR(INDEX('ORG-Metrics'!$A$1:$U$38,MATCH($C36,'ORG-Metrics'!$A$1:$A$38,0),MATCH(G$1,'ORG-Metrics'!$1:$1,0)),"")</f>
        <v/>
      </c>
      <c r="H36" s="21" t="str">
        <f>IFERROR(INDEX('ORG-Metrics'!$A$1:$U$38,MATCH($C36,'ORG-Metrics'!$A$1:$A$38,0),MATCH(H$1,'ORG-Metrics'!$1:$1,0)),"")</f>
        <v/>
      </c>
      <c r="I36" s="21" t="str">
        <f>IFERROR(INDEX('ORG-Metrics'!$A$1:$U$38,MATCH($C36,'ORG-Metrics'!$A$1:$A$38,0),MATCH(I$1,'ORG-Metrics'!$1:$1,0)),"")</f>
        <v/>
      </c>
      <c r="J36" s="21" t="str">
        <f>IFERROR(INDEX('ORG-Metrics'!$A$1:$U$38,MATCH($C36,'ORG-Metrics'!$A$1:$A$38,0),MATCH(J$1,'ORG-Metrics'!$1:$1,0)),"")</f>
        <v/>
      </c>
      <c r="K36" s="21" t="str">
        <f>IFERROR(INDEX('ORG-Metrics'!$A$1:$U$38,MATCH($C36,'ORG-Metrics'!$A$1:$A$38,0),MATCH(K$1,'ORG-Metrics'!$1:$1,0)),"")</f>
        <v/>
      </c>
      <c r="L36" s="21" t="str">
        <f>IFERROR(INDEX('ORG-Metrics'!$A$1:$U$38,MATCH($C36,'ORG-Metrics'!$A$1:$A$38,0),MATCH(L$1,'ORG-Metrics'!$1:$1,0)),"")</f>
        <v/>
      </c>
      <c r="M36" s="21" t="str">
        <f>IFERROR(INDEX('ORG-Metrics'!$A$1:$U$38,MATCH($C36,'ORG-Metrics'!$A$1:$A$38,0),MATCH(M$1,'ORG-Metrics'!$1:$1,0)),"")</f>
        <v/>
      </c>
      <c r="N36" s="21" t="str">
        <f>IFERROR(INDEX('ORG-Metrics'!$A$1:$U$38,MATCH($C36,'ORG-Metrics'!$A$1:$A$38,0),MATCH(N$1,'ORG-Metrics'!$1:$1,0)),"")</f>
        <v/>
      </c>
      <c r="O36" s="21" t="str">
        <f>IFERROR(INDEX('ORG-Metrics'!$A$1:$U$38,MATCH($C36,'ORG-Metrics'!$A$1:$A$38,0),MATCH(O$1,'ORG-Metrics'!$1:$1,0)),"")</f>
        <v/>
      </c>
      <c r="P36" s="21" t="str">
        <f>IFERROR(INDEX('ORG-Metrics'!$A$1:$U$38,MATCH($C36,'ORG-Metrics'!$A$1:$A$38,0),MATCH(P$1,'ORG-Metrics'!$1:$1,0)),"")</f>
        <v/>
      </c>
      <c r="Q36" s="21" t="str">
        <f>IFERROR(INDEX('ORG-Metrics'!$A$1:$U$38,MATCH($C36,'ORG-Metrics'!$A$1:$A$38,0),MATCH(Q$1,'ORG-Metrics'!$1:$1,0)),"")</f>
        <v/>
      </c>
      <c r="R36" s="21" t="str">
        <f>IFERROR(INDEX('ORG-Metrics'!$A$1:$U$38,MATCH($C36,'ORG-Metrics'!$A$1:$A$38,0),MATCH(R$1,'ORG-Metrics'!$1:$1,0)),"")</f>
        <v/>
      </c>
      <c r="S36" s="21" t="str">
        <f>IFERROR(INDEX('ORG-Metrics'!$A$1:$U$38,MATCH($C36,'ORG-Metrics'!$A$1:$A$38,0),MATCH(S$1,'ORG-Metrics'!$1:$1,0)),"")</f>
        <v/>
      </c>
      <c r="T36" s="21" t="str">
        <f>IFERROR(INDEX('ORG-Metrics'!$A$1:$U$38,MATCH($C36,'ORG-Metrics'!$A$1:$A$38,0),MATCH(T$1,'ORG-Metrics'!$1:$1,0)),"")</f>
        <v/>
      </c>
      <c r="U36" s="21" t="str">
        <f>IFERROR(INDEX('ORG-Metrics'!$A$1:$U$38,MATCH($C36,'ORG-Metrics'!$A$1:$A$38,0),MATCH(U$1,'ORG-Metrics'!$1:$1,0)),"")</f>
        <v/>
      </c>
      <c r="V36" t="str">
        <f>IFERROR(INDEX('ORG-Metrics'!$A$1:$U$38,MATCH($C36,'ORG-Metrics'!$A$1:$A$38,0),MATCH(V$1,'ORG-Metrics'!$1:$1,0)),"")</f>
        <v/>
      </c>
      <c r="W36" t="str">
        <f>IFERROR(INDEX('ORG-Metrics'!$A$1:$U$38,MATCH($C36,'ORG-Metrics'!$A$1:$A$38,0),MATCH(W$1,'ORG-Metrics'!$1:$1,0)),"")</f>
        <v/>
      </c>
    </row>
    <row r="37" spans="4:23" x14ac:dyDescent="0.3">
      <c r="D37" s="21" t="str">
        <f>IFERROR(INDEX('ORG-Metrics'!$A$1:$U$38,MATCH($C37,'ORG-Metrics'!$A$1:$A$38,0),MATCH(D$1,'ORG-Metrics'!$1:$1,0)),"")</f>
        <v/>
      </c>
      <c r="E37" s="21" t="str">
        <f>IFERROR(INDEX('ORG-Metrics'!$A$1:$U$38,MATCH($C37,'ORG-Metrics'!$A$1:$A$38,0),MATCH(E$1,'ORG-Metrics'!$1:$1,0)),"")</f>
        <v/>
      </c>
      <c r="F37" s="21" t="str">
        <f>IFERROR(INDEX('ORG-Metrics'!$A$1:$U$38,MATCH($C37,'ORG-Metrics'!$A$1:$A$38,0),MATCH(F$1,'ORG-Metrics'!$1:$1,0)),"")</f>
        <v/>
      </c>
      <c r="G37" s="21" t="str">
        <f>IFERROR(INDEX('ORG-Metrics'!$A$1:$U$38,MATCH($C37,'ORG-Metrics'!$A$1:$A$38,0),MATCH(G$1,'ORG-Metrics'!$1:$1,0)),"")</f>
        <v/>
      </c>
      <c r="H37" s="21" t="str">
        <f>IFERROR(INDEX('ORG-Metrics'!$A$1:$U$38,MATCH($C37,'ORG-Metrics'!$A$1:$A$38,0),MATCH(H$1,'ORG-Metrics'!$1:$1,0)),"")</f>
        <v/>
      </c>
      <c r="I37" s="21" t="str">
        <f>IFERROR(INDEX('ORG-Metrics'!$A$1:$U$38,MATCH($C37,'ORG-Metrics'!$A$1:$A$38,0),MATCH(I$1,'ORG-Metrics'!$1:$1,0)),"")</f>
        <v/>
      </c>
      <c r="J37" s="21" t="str">
        <f>IFERROR(INDEX('ORG-Metrics'!$A$1:$U$38,MATCH($C37,'ORG-Metrics'!$A$1:$A$38,0),MATCH(J$1,'ORG-Metrics'!$1:$1,0)),"")</f>
        <v/>
      </c>
      <c r="K37" s="21" t="str">
        <f>IFERROR(INDEX('ORG-Metrics'!$A$1:$U$38,MATCH($C37,'ORG-Metrics'!$A$1:$A$38,0),MATCH(K$1,'ORG-Metrics'!$1:$1,0)),"")</f>
        <v/>
      </c>
      <c r="L37" s="21" t="str">
        <f>IFERROR(INDEX('ORG-Metrics'!$A$1:$U$38,MATCH($C37,'ORG-Metrics'!$A$1:$A$38,0),MATCH(L$1,'ORG-Metrics'!$1:$1,0)),"")</f>
        <v/>
      </c>
      <c r="M37" s="21" t="str">
        <f>IFERROR(INDEX('ORG-Metrics'!$A$1:$U$38,MATCH($C37,'ORG-Metrics'!$A$1:$A$38,0),MATCH(M$1,'ORG-Metrics'!$1:$1,0)),"")</f>
        <v/>
      </c>
      <c r="N37" s="21" t="str">
        <f>IFERROR(INDEX('ORG-Metrics'!$A$1:$U$38,MATCH($C37,'ORG-Metrics'!$A$1:$A$38,0),MATCH(N$1,'ORG-Metrics'!$1:$1,0)),"")</f>
        <v/>
      </c>
      <c r="O37" s="21" t="str">
        <f>IFERROR(INDEX('ORG-Metrics'!$A$1:$U$38,MATCH($C37,'ORG-Metrics'!$A$1:$A$38,0),MATCH(O$1,'ORG-Metrics'!$1:$1,0)),"")</f>
        <v/>
      </c>
      <c r="P37" s="21" t="str">
        <f>IFERROR(INDEX('ORG-Metrics'!$A$1:$U$38,MATCH($C37,'ORG-Metrics'!$A$1:$A$38,0),MATCH(P$1,'ORG-Metrics'!$1:$1,0)),"")</f>
        <v/>
      </c>
      <c r="Q37" s="21" t="str">
        <f>IFERROR(INDEX('ORG-Metrics'!$A$1:$U$38,MATCH($C37,'ORG-Metrics'!$A$1:$A$38,0),MATCH(Q$1,'ORG-Metrics'!$1:$1,0)),"")</f>
        <v/>
      </c>
      <c r="R37" s="21" t="str">
        <f>IFERROR(INDEX('ORG-Metrics'!$A$1:$U$38,MATCH($C37,'ORG-Metrics'!$A$1:$A$38,0),MATCH(R$1,'ORG-Metrics'!$1:$1,0)),"")</f>
        <v/>
      </c>
      <c r="S37" s="21" t="str">
        <f>IFERROR(INDEX('ORG-Metrics'!$A$1:$U$38,MATCH($C37,'ORG-Metrics'!$A$1:$A$38,0),MATCH(S$1,'ORG-Metrics'!$1:$1,0)),"")</f>
        <v/>
      </c>
      <c r="T37" s="21" t="str">
        <f>IFERROR(INDEX('ORG-Metrics'!$A$1:$U$38,MATCH($C37,'ORG-Metrics'!$A$1:$A$38,0),MATCH(T$1,'ORG-Metrics'!$1:$1,0)),"")</f>
        <v/>
      </c>
      <c r="U37" s="21" t="str">
        <f>IFERROR(INDEX('ORG-Metrics'!$A$1:$U$38,MATCH($C37,'ORG-Metrics'!$A$1:$A$38,0),MATCH(U$1,'ORG-Metrics'!$1:$1,0)),"")</f>
        <v/>
      </c>
      <c r="V37" t="str">
        <f>IFERROR(INDEX('ORG-Metrics'!$A$1:$U$38,MATCH($C37,'ORG-Metrics'!$A$1:$A$38,0),MATCH(V$1,'ORG-Metrics'!$1:$1,0)),"")</f>
        <v/>
      </c>
      <c r="W37" t="str">
        <f>IFERROR(INDEX('ORG-Metrics'!$A$1:$U$38,MATCH($C37,'ORG-Metrics'!$A$1:$A$38,0),MATCH(W$1,'ORG-Metrics'!$1:$1,0)),"")</f>
        <v/>
      </c>
    </row>
    <row r="38" spans="4:23" x14ac:dyDescent="0.3">
      <c r="D38" s="21" t="str">
        <f>IFERROR(INDEX('ORG-Metrics'!$A$1:$U$38,MATCH($C38,'ORG-Metrics'!$A$1:$A$38,0),MATCH(D$1,'ORG-Metrics'!$1:$1,0)),"")</f>
        <v/>
      </c>
      <c r="E38" s="21" t="str">
        <f>IFERROR(INDEX('ORG-Metrics'!$A$1:$U$38,MATCH($C38,'ORG-Metrics'!$A$1:$A$38,0),MATCH(E$1,'ORG-Metrics'!$1:$1,0)),"")</f>
        <v/>
      </c>
      <c r="F38" s="21" t="str">
        <f>IFERROR(INDEX('ORG-Metrics'!$A$1:$U$38,MATCH($C38,'ORG-Metrics'!$A$1:$A$38,0),MATCH(F$1,'ORG-Metrics'!$1:$1,0)),"")</f>
        <v/>
      </c>
      <c r="G38" s="21" t="str">
        <f>IFERROR(INDEX('ORG-Metrics'!$A$1:$U$38,MATCH($C38,'ORG-Metrics'!$A$1:$A$38,0),MATCH(G$1,'ORG-Metrics'!$1:$1,0)),"")</f>
        <v/>
      </c>
      <c r="H38" s="21" t="str">
        <f>IFERROR(INDEX('ORG-Metrics'!$A$1:$U$38,MATCH($C38,'ORG-Metrics'!$A$1:$A$38,0),MATCH(H$1,'ORG-Metrics'!$1:$1,0)),"")</f>
        <v/>
      </c>
      <c r="I38" s="21" t="str">
        <f>IFERROR(INDEX('ORG-Metrics'!$A$1:$U$38,MATCH($C38,'ORG-Metrics'!$A$1:$A$38,0),MATCH(I$1,'ORG-Metrics'!$1:$1,0)),"")</f>
        <v/>
      </c>
      <c r="J38" s="21" t="str">
        <f>IFERROR(INDEX('ORG-Metrics'!$A$1:$U$38,MATCH($C38,'ORG-Metrics'!$A$1:$A$38,0),MATCH(J$1,'ORG-Metrics'!$1:$1,0)),"")</f>
        <v/>
      </c>
      <c r="K38" s="21" t="str">
        <f>IFERROR(INDEX('ORG-Metrics'!$A$1:$U$38,MATCH($C38,'ORG-Metrics'!$A$1:$A$38,0),MATCH(K$1,'ORG-Metrics'!$1:$1,0)),"")</f>
        <v/>
      </c>
      <c r="L38" s="21" t="str">
        <f>IFERROR(INDEX('ORG-Metrics'!$A$1:$U$38,MATCH($C38,'ORG-Metrics'!$A$1:$A$38,0),MATCH(L$1,'ORG-Metrics'!$1:$1,0)),"")</f>
        <v/>
      </c>
      <c r="M38" s="21" t="str">
        <f>IFERROR(INDEX('ORG-Metrics'!$A$1:$U$38,MATCH($C38,'ORG-Metrics'!$A$1:$A$38,0),MATCH(M$1,'ORG-Metrics'!$1:$1,0)),"")</f>
        <v/>
      </c>
      <c r="N38" s="21" t="str">
        <f>IFERROR(INDEX('ORG-Metrics'!$A$1:$U$38,MATCH($C38,'ORG-Metrics'!$A$1:$A$38,0),MATCH(N$1,'ORG-Metrics'!$1:$1,0)),"")</f>
        <v/>
      </c>
      <c r="O38" s="21" t="str">
        <f>IFERROR(INDEX('ORG-Metrics'!$A$1:$U$38,MATCH($C38,'ORG-Metrics'!$A$1:$A$38,0),MATCH(O$1,'ORG-Metrics'!$1:$1,0)),"")</f>
        <v/>
      </c>
      <c r="P38" s="21" t="str">
        <f>IFERROR(INDEX('ORG-Metrics'!$A$1:$U$38,MATCH($C38,'ORG-Metrics'!$A$1:$A$38,0),MATCH(P$1,'ORG-Metrics'!$1:$1,0)),"")</f>
        <v/>
      </c>
      <c r="Q38" s="21" t="str">
        <f>IFERROR(INDEX('ORG-Metrics'!$A$1:$U$38,MATCH($C38,'ORG-Metrics'!$A$1:$A$38,0),MATCH(Q$1,'ORG-Metrics'!$1:$1,0)),"")</f>
        <v/>
      </c>
      <c r="R38" s="21" t="str">
        <f>IFERROR(INDEX('ORG-Metrics'!$A$1:$U$38,MATCH($C38,'ORG-Metrics'!$A$1:$A$38,0),MATCH(R$1,'ORG-Metrics'!$1:$1,0)),"")</f>
        <v/>
      </c>
      <c r="S38" s="21" t="str">
        <f>IFERROR(INDEX('ORG-Metrics'!$A$1:$U$38,MATCH($C38,'ORG-Metrics'!$A$1:$A$38,0),MATCH(S$1,'ORG-Metrics'!$1:$1,0)),"")</f>
        <v/>
      </c>
      <c r="T38" s="21" t="str">
        <f>IFERROR(INDEX('ORG-Metrics'!$A$1:$U$38,MATCH($C38,'ORG-Metrics'!$A$1:$A$38,0),MATCH(T$1,'ORG-Metrics'!$1:$1,0)),"")</f>
        <v/>
      </c>
      <c r="U38" s="21" t="str">
        <f>IFERROR(INDEX('ORG-Metrics'!$A$1:$U$38,MATCH($C38,'ORG-Metrics'!$A$1:$A$38,0),MATCH(U$1,'ORG-Metrics'!$1:$1,0)),"")</f>
        <v/>
      </c>
      <c r="V38" t="str">
        <f>IFERROR(INDEX('ORG-Metrics'!$A$1:$U$38,MATCH($C38,'ORG-Metrics'!$A$1:$A$38,0),MATCH(V$1,'ORG-Metrics'!$1:$1,0)),"")</f>
        <v/>
      </c>
      <c r="W38" t="str">
        <f>IFERROR(INDEX('ORG-Metrics'!$A$1:$U$38,MATCH($C38,'ORG-Metrics'!$A$1:$A$38,0),MATCH(W$1,'ORG-Metrics'!$1:$1,0)),"")</f>
        <v/>
      </c>
    </row>
    <row r="39" spans="4:23" x14ac:dyDescent="0.3">
      <c r="D39" s="21" t="str">
        <f>IFERROR(INDEX('ORG-Metrics'!$A$1:$U$38,MATCH($C39,'ORG-Metrics'!$A$1:$A$38,0),MATCH(D$1,'ORG-Metrics'!$1:$1,0)),"")</f>
        <v/>
      </c>
      <c r="E39" s="21" t="str">
        <f>IFERROR(INDEX('ORG-Metrics'!$A$1:$U$38,MATCH($C39,'ORG-Metrics'!$A$1:$A$38,0),MATCH(E$1,'ORG-Metrics'!$1:$1,0)),"")</f>
        <v/>
      </c>
      <c r="F39" s="21" t="str">
        <f>IFERROR(INDEX('ORG-Metrics'!$A$1:$U$38,MATCH($C39,'ORG-Metrics'!$A$1:$A$38,0),MATCH(F$1,'ORG-Metrics'!$1:$1,0)),"")</f>
        <v/>
      </c>
      <c r="G39" s="21" t="str">
        <f>IFERROR(INDEX('ORG-Metrics'!$A$1:$U$38,MATCH($C39,'ORG-Metrics'!$A$1:$A$38,0),MATCH(G$1,'ORG-Metrics'!$1:$1,0)),"")</f>
        <v/>
      </c>
      <c r="H39" s="21" t="str">
        <f>IFERROR(INDEX('ORG-Metrics'!$A$1:$U$38,MATCH($C39,'ORG-Metrics'!$A$1:$A$38,0),MATCH(H$1,'ORG-Metrics'!$1:$1,0)),"")</f>
        <v/>
      </c>
      <c r="I39" s="21" t="str">
        <f>IFERROR(INDEX('ORG-Metrics'!$A$1:$U$38,MATCH($C39,'ORG-Metrics'!$A$1:$A$38,0),MATCH(I$1,'ORG-Metrics'!$1:$1,0)),"")</f>
        <v/>
      </c>
      <c r="J39" s="21" t="str">
        <f>IFERROR(INDEX('ORG-Metrics'!$A$1:$U$38,MATCH($C39,'ORG-Metrics'!$A$1:$A$38,0),MATCH(J$1,'ORG-Metrics'!$1:$1,0)),"")</f>
        <v/>
      </c>
      <c r="K39" s="21" t="str">
        <f>IFERROR(INDEX('ORG-Metrics'!$A$1:$U$38,MATCH($C39,'ORG-Metrics'!$A$1:$A$38,0),MATCH(K$1,'ORG-Metrics'!$1:$1,0)),"")</f>
        <v/>
      </c>
      <c r="L39" s="21" t="str">
        <f>IFERROR(INDEX('ORG-Metrics'!$A$1:$U$38,MATCH($C39,'ORG-Metrics'!$A$1:$A$38,0),MATCH(L$1,'ORG-Metrics'!$1:$1,0)),"")</f>
        <v/>
      </c>
      <c r="M39" s="21" t="str">
        <f>IFERROR(INDEX('ORG-Metrics'!$A$1:$U$38,MATCH($C39,'ORG-Metrics'!$A$1:$A$38,0),MATCH(M$1,'ORG-Metrics'!$1:$1,0)),"")</f>
        <v/>
      </c>
      <c r="N39" s="21" t="str">
        <f>IFERROR(INDEX('ORG-Metrics'!$A$1:$U$38,MATCH($C39,'ORG-Metrics'!$A$1:$A$38,0),MATCH(N$1,'ORG-Metrics'!$1:$1,0)),"")</f>
        <v/>
      </c>
      <c r="O39" s="21" t="str">
        <f>IFERROR(INDEX('ORG-Metrics'!$A$1:$U$38,MATCH($C39,'ORG-Metrics'!$A$1:$A$38,0),MATCH(O$1,'ORG-Metrics'!$1:$1,0)),"")</f>
        <v/>
      </c>
      <c r="P39" s="21" t="str">
        <f>IFERROR(INDEX('ORG-Metrics'!$A$1:$U$38,MATCH($C39,'ORG-Metrics'!$A$1:$A$38,0),MATCH(P$1,'ORG-Metrics'!$1:$1,0)),"")</f>
        <v/>
      </c>
      <c r="Q39" s="21" t="str">
        <f>IFERROR(INDEX('ORG-Metrics'!$A$1:$U$38,MATCH($C39,'ORG-Metrics'!$A$1:$A$38,0),MATCH(Q$1,'ORG-Metrics'!$1:$1,0)),"")</f>
        <v/>
      </c>
      <c r="R39" s="21" t="str">
        <f>IFERROR(INDEX('ORG-Metrics'!$A$1:$U$38,MATCH($C39,'ORG-Metrics'!$A$1:$A$38,0),MATCH(R$1,'ORG-Metrics'!$1:$1,0)),"")</f>
        <v/>
      </c>
      <c r="S39" s="21" t="str">
        <f>IFERROR(INDEX('ORG-Metrics'!$A$1:$U$38,MATCH($C39,'ORG-Metrics'!$A$1:$A$38,0),MATCH(S$1,'ORG-Metrics'!$1:$1,0)),"")</f>
        <v/>
      </c>
      <c r="T39" s="21" t="str">
        <f>IFERROR(INDEX('ORG-Metrics'!$A$1:$U$38,MATCH($C39,'ORG-Metrics'!$A$1:$A$38,0),MATCH(T$1,'ORG-Metrics'!$1:$1,0)),"")</f>
        <v/>
      </c>
      <c r="U39" s="21" t="str">
        <f>IFERROR(INDEX('ORG-Metrics'!$A$1:$U$38,MATCH($C39,'ORG-Metrics'!$A$1:$A$38,0),MATCH(U$1,'ORG-Metrics'!$1:$1,0)),"")</f>
        <v/>
      </c>
      <c r="V39" t="str">
        <f>IFERROR(INDEX('ORG-Metrics'!$A$1:$U$38,MATCH($C39,'ORG-Metrics'!$A$1:$A$38,0),MATCH(V$1,'ORG-Metrics'!$1:$1,0)),"")</f>
        <v/>
      </c>
      <c r="W39" t="str">
        <f>IFERROR(INDEX('ORG-Metrics'!$A$1:$U$38,MATCH($C39,'ORG-Metrics'!$A$1:$A$38,0),MATCH(W$1,'ORG-Metrics'!$1:$1,0)),"")</f>
        <v/>
      </c>
    </row>
    <row r="40" spans="4:23" x14ac:dyDescent="0.3">
      <c r="D40" s="21" t="str">
        <f>IFERROR(INDEX('ORG-Metrics'!$A$1:$U$38,MATCH($C40,'ORG-Metrics'!$A$1:$A$38,0),MATCH(D$1,'ORG-Metrics'!$1:$1,0)),"")</f>
        <v/>
      </c>
      <c r="E40" s="21" t="str">
        <f>IFERROR(INDEX('ORG-Metrics'!$A$1:$U$38,MATCH($C40,'ORG-Metrics'!$A$1:$A$38,0),MATCH(E$1,'ORG-Metrics'!$1:$1,0)),"")</f>
        <v/>
      </c>
      <c r="F40" s="21" t="str">
        <f>IFERROR(INDEX('ORG-Metrics'!$A$1:$U$38,MATCH($C40,'ORG-Metrics'!$A$1:$A$38,0),MATCH(F$1,'ORG-Metrics'!$1:$1,0)),"")</f>
        <v/>
      </c>
      <c r="G40" s="21" t="str">
        <f>IFERROR(INDEX('ORG-Metrics'!$A$1:$U$38,MATCH($C40,'ORG-Metrics'!$A$1:$A$38,0),MATCH(G$1,'ORG-Metrics'!$1:$1,0)),"")</f>
        <v/>
      </c>
      <c r="H40" s="21" t="str">
        <f>IFERROR(INDEX('ORG-Metrics'!$A$1:$U$38,MATCH($C40,'ORG-Metrics'!$A$1:$A$38,0),MATCH(H$1,'ORG-Metrics'!$1:$1,0)),"")</f>
        <v/>
      </c>
      <c r="I40" s="21" t="str">
        <f>IFERROR(INDEX('ORG-Metrics'!$A$1:$U$38,MATCH($C40,'ORG-Metrics'!$A$1:$A$38,0),MATCH(I$1,'ORG-Metrics'!$1:$1,0)),"")</f>
        <v/>
      </c>
      <c r="J40" s="21" t="str">
        <f>IFERROR(INDEX('ORG-Metrics'!$A$1:$U$38,MATCH($C40,'ORG-Metrics'!$A$1:$A$38,0),MATCH(J$1,'ORG-Metrics'!$1:$1,0)),"")</f>
        <v/>
      </c>
      <c r="K40" s="21" t="str">
        <f>IFERROR(INDEX('ORG-Metrics'!$A$1:$U$38,MATCH($C40,'ORG-Metrics'!$A$1:$A$38,0),MATCH(K$1,'ORG-Metrics'!$1:$1,0)),"")</f>
        <v/>
      </c>
      <c r="L40" s="21" t="str">
        <f>IFERROR(INDEX('ORG-Metrics'!$A$1:$U$38,MATCH($C40,'ORG-Metrics'!$A$1:$A$38,0),MATCH(L$1,'ORG-Metrics'!$1:$1,0)),"")</f>
        <v/>
      </c>
      <c r="M40" s="21" t="str">
        <f>IFERROR(INDEX('ORG-Metrics'!$A$1:$U$38,MATCH($C40,'ORG-Metrics'!$A$1:$A$38,0),MATCH(M$1,'ORG-Metrics'!$1:$1,0)),"")</f>
        <v/>
      </c>
      <c r="N40" s="21" t="str">
        <f>IFERROR(INDEX('ORG-Metrics'!$A$1:$U$38,MATCH($C40,'ORG-Metrics'!$A$1:$A$38,0),MATCH(N$1,'ORG-Metrics'!$1:$1,0)),"")</f>
        <v/>
      </c>
      <c r="O40" s="21" t="str">
        <f>IFERROR(INDEX('ORG-Metrics'!$A$1:$U$38,MATCH($C40,'ORG-Metrics'!$A$1:$A$38,0),MATCH(O$1,'ORG-Metrics'!$1:$1,0)),"")</f>
        <v/>
      </c>
      <c r="P40" s="21" t="str">
        <f>IFERROR(INDEX('ORG-Metrics'!$A$1:$U$38,MATCH($C40,'ORG-Metrics'!$A$1:$A$38,0),MATCH(P$1,'ORG-Metrics'!$1:$1,0)),"")</f>
        <v/>
      </c>
      <c r="Q40" s="21" t="str">
        <f>IFERROR(INDEX('ORG-Metrics'!$A$1:$U$38,MATCH($C40,'ORG-Metrics'!$A$1:$A$38,0),MATCH(Q$1,'ORG-Metrics'!$1:$1,0)),"")</f>
        <v/>
      </c>
      <c r="R40" s="21" t="str">
        <f>IFERROR(INDEX('ORG-Metrics'!$A$1:$U$38,MATCH($C40,'ORG-Metrics'!$A$1:$A$38,0),MATCH(R$1,'ORG-Metrics'!$1:$1,0)),"")</f>
        <v/>
      </c>
      <c r="S40" s="21" t="str">
        <f>IFERROR(INDEX('ORG-Metrics'!$A$1:$U$38,MATCH($C40,'ORG-Metrics'!$A$1:$A$38,0),MATCH(S$1,'ORG-Metrics'!$1:$1,0)),"")</f>
        <v/>
      </c>
      <c r="T40" s="21" t="str">
        <f>IFERROR(INDEX('ORG-Metrics'!$A$1:$U$38,MATCH($C40,'ORG-Metrics'!$A$1:$A$38,0),MATCH(T$1,'ORG-Metrics'!$1:$1,0)),"")</f>
        <v/>
      </c>
      <c r="U40" s="21" t="str">
        <f>IFERROR(INDEX('ORG-Metrics'!$A$1:$U$38,MATCH($C40,'ORG-Metrics'!$A$1:$A$38,0),MATCH(U$1,'ORG-Metrics'!$1:$1,0)),"")</f>
        <v/>
      </c>
      <c r="V40" t="str">
        <f>IFERROR(INDEX('ORG-Metrics'!$A$1:$U$38,MATCH($C40,'ORG-Metrics'!$A$1:$A$38,0),MATCH(V$1,'ORG-Metrics'!$1:$1,0)),"")</f>
        <v/>
      </c>
      <c r="W40" t="str">
        <f>IFERROR(INDEX('ORG-Metrics'!$A$1:$U$38,MATCH($C40,'ORG-Metrics'!$A$1:$A$38,0),MATCH(W$1,'ORG-Metrics'!$1:$1,0)),"")</f>
        <v/>
      </c>
    </row>
    <row r="41" spans="4:23" x14ac:dyDescent="0.3">
      <c r="D41" s="21" t="str">
        <f>IFERROR(INDEX('ORG-Metrics'!$A$1:$U$38,MATCH($C41,'ORG-Metrics'!$A$1:$A$38,0),MATCH(D$1,'ORG-Metrics'!$1:$1,0)),"")</f>
        <v/>
      </c>
      <c r="E41" s="21" t="str">
        <f>IFERROR(INDEX('ORG-Metrics'!$A$1:$U$38,MATCH($C41,'ORG-Metrics'!$A$1:$A$38,0),MATCH(E$1,'ORG-Metrics'!$1:$1,0)),"")</f>
        <v/>
      </c>
      <c r="F41" s="21" t="str">
        <f>IFERROR(INDEX('ORG-Metrics'!$A$1:$U$38,MATCH($C41,'ORG-Metrics'!$A$1:$A$38,0),MATCH(F$1,'ORG-Metrics'!$1:$1,0)),"")</f>
        <v/>
      </c>
      <c r="G41" s="21" t="str">
        <f>IFERROR(INDEX('ORG-Metrics'!$A$1:$U$38,MATCH($C41,'ORG-Metrics'!$A$1:$A$38,0),MATCH(G$1,'ORG-Metrics'!$1:$1,0)),"")</f>
        <v/>
      </c>
      <c r="H41" s="21" t="str">
        <f>IFERROR(INDEX('ORG-Metrics'!$A$1:$U$38,MATCH($C41,'ORG-Metrics'!$A$1:$A$38,0),MATCH(H$1,'ORG-Metrics'!$1:$1,0)),"")</f>
        <v/>
      </c>
      <c r="I41" s="21" t="str">
        <f>IFERROR(INDEX('ORG-Metrics'!$A$1:$U$38,MATCH($C41,'ORG-Metrics'!$A$1:$A$38,0),MATCH(I$1,'ORG-Metrics'!$1:$1,0)),"")</f>
        <v/>
      </c>
      <c r="J41" s="21" t="str">
        <f>IFERROR(INDEX('ORG-Metrics'!$A$1:$U$38,MATCH($C41,'ORG-Metrics'!$A$1:$A$38,0),MATCH(J$1,'ORG-Metrics'!$1:$1,0)),"")</f>
        <v/>
      </c>
      <c r="K41" s="21" t="str">
        <f>IFERROR(INDEX('ORG-Metrics'!$A$1:$U$38,MATCH($C41,'ORG-Metrics'!$A$1:$A$38,0),MATCH(K$1,'ORG-Metrics'!$1:$1,0)),"")</f>
        <v/>
      </c>
      <c r="L41" s="21" t="str">
        <f>IFERROR(INDEX('ORG-Metrics'!$A$1:$U$38,MATCH($C41,'ORG-Metrics'!$A$1:$A$38,0),MATCH(L$1,'ORG-Metrics'!$1:$1,0)),"")</f>
        <v/>
      </c>
      <c r="M41" s="21" t="str">
        <f>IFERROR(INDEX('ORG-Metrics'!$A$1:$U$38,MATCH($C41,'ORG-Metrics'!$A$1:$A$38,0),MATCH(M$1,'ORG-Metrics'!$1:$1,0)),"")</f>
        <v/>
      </c>
      <c r="N41" s="21" t="str">
        <f>IFERROR(INDEX('ORG-Metrics'!$A$1:$U$38,MATCH($C41,'ORG-Metrics'!$A$1:$A$38,0),MATCH(N$1,'ORG-Metrics'!$1:$1,0)),"")</f>
        <v/>
      </c>
      <c r="O41" s="21" t="str">
        <f>IFERROR(INDEX('ORG-Metrics'!$A$1:$U$38,MATCH($C41,'ORG-Metrics'!$A$1:$A$38,0),MATCH(O$1,'ORG-Metrics'!$1:$1,0)),"")</f>
        <v/>
      </c>
      <c r="P41" s="21" t="str">
        <f>IFERROR(INDEX('ORG-Metrics'!$A$1:$U$38,MATCH($C41,'ORG-Metrics'!$A$1:$A$38,0),MATCH(P$1,'ORG-Metrics'!$1:$1,0)),"")</f>
        <v/>
      </c>
      <c r="Q41" s="21" t="str">
        <f>IFERROR(INDEX('ORG-Metrics'!$A$1:$U$38,MATCH($C41,'ORG-Metrics'!$A$1:$A$38,0),MATCH(Q$1,'ORG-Metrics'!$1:$1,0)),"")</f>
        <v/>
      </c>
      <c r="R41" s="21" t="str">
        <f>IFERROR(INDEX('ORG-Metrics'!$A$1:$U$38,MATCH($C41,'ORG-Metrics'!$A$1:$A$38,0),MATCH(R$1,'ORG-Metrics'!$1:$1,0)),"")</f>
        <v/>
      </c>
      <c r="S41" s="21" t="str">
        <f>IFERROR(INDEX('ORG-Metrics'!$A$1:$U$38,MATCH($C41,'ORG-Metrics'!$A$1:$A$38,0),MATCH(S$1,'ORG-Metrics'!$1:$1,0)),"")</f>
        <v/>
      </c>
      <c r="T41" s="21" t="str">
        <f>IFERROR(INDEX('ORG-Metrics'!$A$1:$U$38,MATCH($C41,'ORG-Metrics'!$A$1:$A$38,0),MATCH(T$1,'ORG-Metrics'!$1:$1,0)),"")</f>
        <v/>
      </c>
      <c r="U41" s="21" t="str">
        <f>IFERROR(INDEX('ORG-Metrics'!$A$1:$U$38,MATCH($C41,'ORG-Metrics'!$A$1:$A$38,0),MATCH(U$1,'ORG-Metrics'!$1:$1,0)),"")</f>
        <v/>
      </c>
      <c r="V41" t="str">
        <f>IFERROR(INDEX('ORG-Metrics'!$A$1:$U$38,MATCH($C41,'ORG-Metrics'!$A$1:$A$38,0),MATCH(V$1,'ORG-Metrics'!$1:$1,0)),"")</f>
        <v/>
      </c>
      <c r="W41" t="str">
        <f>IFERROR(INDEX('ORG-Metrics'!$A$1:$U$38,MATCH($C41,'ORG-Metrics'!$A$1:$A$38,0),MATCH(W$1,'ORG-Metrics'!$1:$1,0)),"")</f>
        <v/>
      </c>
    </row>
    <row r="42" spans="4:23" x14ac:dyDescent="0.3">
      <c r="D42" s="21" t="str">
        <f>IFERROR(INDEX('ORG-Metrics'!$A$1:$U$38,MATCH($C42,'ORG-Metrics'!$A$1:$A$38,0),MATCH(D$1,'ORG-Metrics'!$1:$1,0)),"")</f>
        <v/>
      </c>
      <c r="E42" s="21" t="str">
        <f>IFERROR(INDEX('ORG-Metrics'!$A$1:$U$38,MATCH($C42,'ORG-Metrics'!$A$1:$A$38,0),MATCH(E$1,'ORG-Metrics'!$1:$1,0)),"")</f>
        <v/>
      </c>
      <c r="F42" s="21" t="str">
        <f>IFERROR(INDEX('ORG-Metrics'!$A$1:$U$38,MATCH($C42,'ORG-Metrics'!$A$1:$A$38,0),MATCH(F$1,'ORG-Metrics'!$1:$1,0)),"")</f>
        <v/>
      </c>
      <c r="G42" s="21" t="str">
        <f>IFERROR(INDEX('ORG-Metrics'!$A$1:$U$38,MATCH($C42,'ORG-Metrics'!$A$1:$A$38,0),MATCH(G$1,'ORG-Metrics'!$1:$1,0)),"")</f>
        <v/>
      </c>
      <c r="H42" s="21" t="str">
        <f>IFERROR(INDEX('ORG-Metrics'!$A$1:$U$38,MATCH($C42,'ORG-Metrics'!$A$1:$A$38,0),MATCH(H$1,'ORG-Metrics'!$1:$1,0)),"")</f>
        <v/>
      </c>
      <c r="I42" s="21" t="str">
        <f>IFERROR(INDEX('ORG-Metrics'!$A$1:$U$38,MATCH($C42,'ORG-Metrics'!$A$1:$A$38,0),MATCH(I$1,'ORG-Metrics'!$1:$1,0)),"")</f>
        <v/>
      </c>
      <c r="J42" s="21" t="str">
        <f>IFERROR(INDEX('ORG-Metrics'!$A$1:$U$38,MATCH($C42,'ORG-Metrics'!$A$1:$A$38,0),MATCH(J$1,'ORG-Metrics'!$1:$1,0)),"")</f>
        <v/>
      </c>
      <c r="K42" s="21" t="str">
        <f>IFERROR(INDEX('ORG-Metrics'!$A$1:$U$38,MATCH($C42,'ORG-Metrics'!$A$1:$A$38,0),MATCH(K$1,'ORG-Metrics'!$1:$1,0)),"")</f>
        <v/>
      </c>
      <c r="L42" s="21" t="str">
        <f>IFERROR(INDEX('ORG-Metrics'!$A$1:$U$38,MATCH($C42,'ORG-Metrics'!$A$1:$A$38,0),MATCH(L$1,'ORG-Metrics'!$1:$1,0)),"")</f>
        <v/>
      </c>
      <c r="M42" s="21" t="str">
        <f>IFERROR(INDEX('ORG-Metrics'!$A$1:$U$38,MATCH($C42,'ORG-Metrics'!$A$1:$A$38,0),MATCH(M$1,'ORG-Metrics'!$1:$1,0)),"")</f>
        <v/>
      </c>
      <c r="N42" s="21" t="str">
        <f>IFERROR(INDEX('ORG-Metrics'!$A$1:$U$38,MATCH($C42,'ORG-Metrics'!$A$1:$A$38,0),MATCH(N$1,'ORG-Metrics'!$1:$1,0)),"")</f>
        <v/>
      </c>
      <c r="O42" s="21" t="str">
        <f>IFERROR(INDEX('ORG-Metrics'!$A$1:$U$38,MATCH($C42,'ORG-Metrics'!$A$1:$A$38,0),MATCH(O$1,'ORG-Metrics'!$1:$1,0)),"")</f>
        <v/>
      </c>
      <c r="P42" s="21" t="str">
        <f>IFERROR(INDEX('ORG-Metrics'!$A$1:$U$38,MATCH($C42,'ORG-Metrics'!$A$1:$A$38,0),MATCH(P$1,'ORG-Metrics'!$1:$1,0)),"")</f>
        <v/>
      </c>
      <c r="Q42" s="21" t="str">
        <f>IFERROR(INDEX('ORG-Metrics'!$A$1:$U$38,MATCH($C42,'ORG-Metrics'!$A$1:$A$38,0),MATCH(Q$1,'ORG-Metrics'!$1:$1,0)),"")</f>
        <v/>
      </c>
      <c r="R42" s="21" t="str">
        <f>IFERROR(INDEX('ORG-Metrics'!$A$1:$U$38,MATCH($C42,'ORG-Metrics'!$A$1:$A$38,0),MATCH(R$1,'ORG-Metrics'!$1:$1,0)),"")</f>
        <v/>
      </c>
      <c r="S42" s="21" t="str">
        <f>IFERROR(INDEX('ORG-Metrics'!$A$1:$U$38,MATCH($C42,'ORG-Metrics'!$A$1:$A$38,0),MATCH(S$1,'ORG-Metrics'!$1:$1,0)),"")</f>
        <v/>
      </c>
      <c r="T42" s="21" t="str">
        <f>IFERROR(INDEX('ORG-Metrics'!$A$1:$U$38,MATCH($C42,'ORG-Metrics'!$A$1:$A$38,0),MATCH(T$1,'ORG-Metrics'!$1:$1,0)),"")</f>
        <v/>
      </c>
      <c r="U42" s="21" t="str">
        <f>IFERROR(INDEX('ORG-Metrics'!$A$1:$U$38,MATCH($C42,'ORG-Metrics'!$A$1:$A$38,0),MATCH(U$1,'ORG-Metrics'!$1:$1,0)),"")</f>
        <v/>
      </c>
      <c r="V42" t="str">
        <f>IFERROR(INDEX('ORG-Metrics'!$A$1:$U$38,MATCH($C42,'ORG-Metrics'!$A$1:$A$38,0),MATCH(V$1,'ORG-Metrics'!$1:$1,0)),"")</f>
        <v/>
      </c>
      <c r="W42" t="str">
        <f>IFERROR(INDEX('ORG-Metrics'!$A$1:$U$38,MATCH($C42,'ORG-Metrics'!$A$1:$A$38,0),MATCH(W$1,'ORG-Metrics'!$1:$1,0)),"")</f>
        <v/>
      </c>
    </row>
    <row r="43" spans="4:23" x14ac:dyDescent="0.3">
      <c r="D43" s="21" t="str">
        <f>IFERROR(INDEX('ORG-Metrics'!$A$1:$U$38,MATCH($C43,'ORG-Metrics'!$A$1:$A$38,0),MATCH(D$1,'ORG-Metrics'!$1:$1,0)),"")</f>
        <v/>
      </c>
      <c r="E43" s="21" t="str">
        <f>IFERROR(INDEX('ORG-Metrics'!$A$1:$U$38,MATCH($C43,'ORG-Metrics'!$A$1:$A$38,0),MATCH(E$1,'ORG-Metrics'!$1:$1,0)),"")</f>
        <v/>
      </c>
      <c r="F43" s="21" t="str">
        <f>IFERROR(INDEX('ORG-Metrics'!$A$1:$U$38,MATCH($C43,'ORG-Metrics'!$A$1:$A$38,0),MATCH(F$1,'ORG-Metrics'!$1:$1,0)),"")</f>
        <v/>
      </c>
      <c r="G43" s="21" t="str">
        <f>IFERROR(INDEX('ORG-Metrics'!$A$1:$U$38,MATCH($C43,'ORG-Metrics'!$A$1:$A$38,0),MATCH(G$1,'ORG-Metrics'!$1:$1,0)),"")</f>
        <v/>
      </c>
      <c r="H43" s="21" t="str">
        <f>IFERROR(INDEX('ORG-Metrics'!$A$1:$U$38,MATCH($C43,'ORG-Metrics'!$A$1:$A$38,0),MATCH(H$1,'ORG-Metrics'!$1:$1,0)),"")</f>
        <v/>
      </c>
      <c r="I43" s="21" t="str">
        <f>IFERROR(INDEX('ORG-Metrics'!$A$1:$U$38,MATCH($C43,'ORG-Metrics'!$A$1:$A$38,0),MATCH(I$1,'ORG-Metrics'!$1:$1,0)),"")</f>
        <v/>
      </c>
      <c r="J43" s="21" t="str">
        <f>IFERROR(INDEX('ORG-Metrics'!$A$1:$U$38,MATCH($C43,'ORG-Metrics'!$A$1:$A$38,0),MATCH(J$1,'ORG-Metrics'!$1:$1,0)),"")</f>
        <v/>
      </c>
      <c r="K43" s="21" t="str">
        <f>IFERROR(INDEX('ORG-Metrics'!$A$1:$U$38,MATCH($C43,'ORG-Metrics'!$A$1:$A$38,0),MATCH(K$1,'ORG-Metrics'!$1:$1,0)),"")</f>
        <v/>
      </c>
      <c r="L43" s="21" t="str">
        <f>IFERROR(INDEX('ORG-Metrics'!$A$1:$U$38,MATCH($C43,'ORG-Metrics'!$A$1:$A$38,0),MATCH(L$1,'ORG-Metrics'!$1:$1,0)),"")</f>
        <v/>
      </c>
      <c r="M43" s="21" t="str">
        <f>IFERROR(INDEX('ORG-Metrics'!$A$1:$U$38,MATCH($C43,'ORG-Metrics'!$A$1:$A$38,0),MATCH(M$1,'ORG-Metrics'!$1:$1,0)),"")</f>
        <v/>
      </c>
      <c r="N43" s="21" t="str">
        <f>IFERROR(INDEX('ORG-Metrics'!$A$1:$U$38,MATCH($C43,'ORG-Metrics'!$A$1:$A$38,0),MATCH(N$1,'ORG-Metrics'!$1:$1,0)),"")</f>
        <v/>
      </c>
      <c r="O43" s="21" t="str">
        <f>IFERROR(INDEX('ORG-Metrics'!$A$1:$U$38,MATCH($C43,'ORG-Metrics'!$A$1:$A$38,0),MATCH(O$1,'ORG-Metrics'!$1:$1,0)),"")</f>
        <v/>
      </c>
      <c r="P43" s="21" t="str">
        <f>IFERROR(INDEX('ORG-Metrics'!$A$1:$U$38,MATCH($C43,'ORG-Metrics'!$A$1:$A$38,0),MATCH(P$1,'ORG-Metrics'!$1:$1,0)),"")</f>
        <v/>
      </c>
      <c r="Q43" s="21" t="str">
        <f>IFERROR(INDEX('ORG-Metrics'!$A$1:$U$38,MATCH($C43,'ORG-Metrics'!$A$1:$A$38,0),MATCH(Q$1,'ORG-Metrics'!$1:$1,0)),"")</f>
        <v/>
      </c>
      <c r="R43" s="21" t="str">
        <f>IFERROR(INDEX('ORG-Metrics'!$A$1:$U$38,MATCH($C43,'ORG-Metrics'!$A$1:$A$38,0),MATCH(R$1,'ORG-Metrics'!$1:$1,0)),"")</f>
        <v/>
      </c>
      <c r="S43" s="21" t="str">
        <f>IFERROR(INDEX('ORG-Metrics'!$A$1:$U$38,MATCH($C43,'ORG-Metrics'!$A$1:$A$38,0),MATCH(S$1,'ORG-Metrics'!$1:$1,0)),"")</f>
        <v/>
      </c>
      <c r="T43" s="21" t="str">
        <f>IFERROR(INDEX('ORG-Metrics'!$A$1:$U$38,MATCH($C43,'ORG-Metrics'!$A$1:$A$38,0),MATCH(T$1,'ORG-Metrics'!$1:$1,0)),"")</f>
        <v/>
      </c>
      <c r="U43" s="21" t="str">
        <f>IFERROR(INDEX('ORG-Metrics'!$A$1:$U$38,MATCH($C43,'ORG-Metrics'!$A$1:$A$38,0),MATCH(U$1,'ORG-Metrics'!$1:$1,0)),"")</f>
        <v/>
      </c>
      <c r="V43" t="str">
        <f>IFERROR(INDEX('ORG-Metrics'!$A$1:$U$38,MATCH($C43,'ORG-Metrics'!$A$1:$A$38,0),MATCH(V$1,'ORG-Metrics'!$1:$1,0)),"")</f>
        <v/>
      </c>
      <c r="W43" t="str">
        <f>IFERROR(INDEX('ORG-Metrics'!$A$1:$U$38,MATCH($C43,'ORG-Metrics'!$A$1:$A$38,0),MATCH(W$1,'ORG-Metrics'!$1:$1,0)),"")</f>
        <v/>
      </c>
    </row>
    <row r="44" spans="4:23" x14ac:dyDescent="0.3">
      <c r="D44" s="21" t="str">
        <f>IFERROR(INDEX('ORG-Metrics'!$A$1:$U$38,MATCH($C44,'ORG-Metrics'!$A$1:$A$38,0),MATCH(D$1,'ORG-Metrics'!$1:$1,0)),"")</f>
        <v/>
      </c>
      <c r="E44" s="21" t="str">
        <f>IFERROR(INDEX('ORG-Metrics'!$A$1:$U$38,MATCH($C44,'ORG-Metrics'!$A$1:$A$38,0),MATCH(E$1,'ORG-Metrics'!$1:$1,0)),"")</f>
        <v/>
      </c>
      <c r="F44" s="21" t="str">
        <f>IFERROR(INDEX('ORG-Metrics'!$A$1:$U$38,MATCH($C44,'ORG-Metrics'!$A$1:$A$38,0),MATCH(F$1,'ORG-Metrics'!$1:$1,0)),"")</f>
        <v/>
      </c>
      <c r="G44" s="21" t="str">
        <f>IFERROR(INDEX('ORG-Metrics'!$A$1:$U$38,MATCH($C44,'ORG-Metrics'!$A$1:$A$38,0),MATCH(G$1,'ORG-Metrics'!$1:$1,0)),"")</f>
        <v/>
      </c>
      <c r="H44" s="21" t="str">
        <f>IFERROR(INDEX('ORG-Metrics'!$A$1:$U$38,MATCH($C44,'ORG-Metrics'!$A$1:$A$38,0),MATCH(H$1,'ORG-Metrics'!$1:$1,0)),"")</f>
        <v/>
      </c>
      <c r="I44" s="21" t="str">
        <f>IFERROR(INDEX('ORG-Metrics'!$A$1:$U$38,MATCH($C44,'ORG-Metrics'!$A$1:$A$38,0),MATCH(I$1,'ORG-Metrics'!$1:$1,0)),"")</f>
        <v/>
      </c>
      <c r="J44" s="21" t="str">
        <f>IFERROR(INDEX('ORG-Metrics'!$A$1:$U$38,MATCH($C44,'ORG-Metrics'!$A$1:$A$38,0),MATCH(J$1,'ORG-Metrics'!$1:$1,0)),"")</f>
        <v/>
      </c>
      <c r="K44" s="21" t="str">
        <f>IFERROR(INDEX('ORG-Metrics'!$A$1:$U$38,MATCH($C44,'ORG-Metrics'!$A$1:$A$38,0),MATCH(K$1,'ORG-Metrics'!$1:$1,0)),"")</f>
        <v/>
      </c>
      <c r="L44" s="21" t="str">
        <f>IFERROR(INDEX('ORG-Metrics'!$A$1:$U$38,MATCH($C44,'ORG-Metrics'!$A$1:$A$38,0),MATCH(L$1,'ORG-Metrics'!$1:$1,0)),"")</f>
        <v/>
      </c>
      <c r="M44" s="21" t="str">
        <f>IFERROR(INDEX('ORG-Metrics'!$A$1:$U$38,MATCH($C44,'ORG-Metrics'!$A$1:$A$38,0),MATCH(M$1,'ORG-Metrics'!$1:$1,0)),"")</f>
        <v/>
      </c>
      <c r="N44" s="21" t="str">
        <f>IFERROR(INDEX('ORG-Metrics'!$A$1:$U$38,MATCH($C44,'ORG-Metrics'!$A$1:$A$38,0),MATCH(N$1,'ORG-Metrics'!$1:$1,0)),"")</f>
        <v/>
      </c>
      <c r="O44" s="21" t="str">
        <f>IFERROR(INDEX('ORG-Metrics'!$A$1:$U$38,MATCH($C44,'ORG-Metrics'!$A$1:$A$38,0),MATCH(O$1,'ORG-Metrics'!$1:$1,0)),"")</f>
        <v/>
      </c>
      <c r="P44" s="21" t="str">
        <f>IFERROR(INDEX('ORG-Metrics'!$A$1:$U$38,MATCH($C44,'ORG-Metrics'!$A$1:$A$38,0),MATCH(P$1,'ORG-Metrics'!$1:$1,0)),"")</f>
        <v/>
      </c>
      <c r="Q44" s="21" t="str">
        <f>IFERROR(INDEX('ORG-Metrics'!$A$1:$U$38,MATCH($C44,'ORG-Metrics'!$A$1:$A$38,0),MATCH(Q$1,'ORG-Metrics'!$1:$1,0)),"")</f>
        <v/>
      </c>
      <c r="R44" s="21" t="str">
        <f>IFERROR(INDEX('ORG-Metrics'!$A$1:$U$38,MATCH($C44,'ORG-Metrics'!$A$1:$A$38,0),MATCH(R$1,'ORG-Metrics'!$1:$1,0)),"")</f>
        <v/>
      </c>
      <c r="S44" s="21" t="str">
        <f>IFERROR(INDEX('ORG-Metrics'!$A$1:$U$38,MATCH($C44,'ORG-Metrics'!$A$1:$A$38,0),MATCH(S$1,'ORG-Metrics'!$1:$1,0)),"")</f>
        <v/>
      </c>
      <c r="T44" s="21" t="str">
        <f>IFERROR(INDEX('ORG-Metrics'!$A$1:$U$38,MATCH($C44,'ORG-Metrics'!$A$1:$A$38,0),MATCH(T$1,'ORG-Metrics'!$1:$1,0)),"")</f>
        <v/>
      </c>
      <c r="U44" s="21" t="str">
        <f>IFERROR(INDEX('ORG-Metrics'!$A$1:$U$38,MATCH($C44,'ORG-Metrics'!$A$1:$A$38,0),MATCH(U$1,'ORG-Metrics'!$1:$1,0)),"")</f>
        <v/>
      </c>
      <c r="V44" t="str">
        <f>IFERROR(INDEX('ORG-Metrics'!$A$1:$U$38,MATCH($C44,'ORG-Metrics'!$A$1:$A$38,0),MATCH(V$1,'ORG-Metrics'!$1:$1,0)),"")</f>
        <v/>
      </c>
      <c r="W44" t="str">
        <f>IFERROR(INDEX('ORG-Metrics'!$A$1:$U$38,MATCH($C44,'ORG-Metrics'!$A$1:$A$38,0),MATCH(W$1,'ORG-Metrics'!$1:$1,0)),"")</f>
        <v/>
      </c>
    </row>
    <row r="45" spans="4:23" x14ac:dyDescent="0.3">
      <c r="D45" s="21" t="str">
        <f>IFERROR(INDEX('ORG-Metrics'!$A$1:$U$38,MATCH($C45,'ORG-Metrics'!$A$1:$A$38,0),MATCH(D$1,'ORG-Metrics'!$1:$1,0)),"")</f>
        <v/>
      </c>
      <c r="E45" s="21" t="str">
        <f>IFERROR(INDEX('ORG-Metrics'!$A$1:$U$38,MATCH($C45,'ORG-Metrics'!$A$1:$A$38,0),MATCH(E$1,'ORG-Metrics'!$1:$1,0)),"")</f>
        <v/>
      </c>
      <c r="F45" s="21" t="str">
        <f>IFERROR(INDEX('ORG-Metrics'!$A$1:$U$38,MATCH($C45,'ORG-Metrics'!$A$1:$A$38,0),MATCH(F$1,'ORG-Metrics'!$1:$1,0)),"")</f>
        <v/>
      </c>
      <c r="G45" s="21" t="str">
        <f>IFERROR(INDEX('ORG-Metrics'!$A$1:$U$38,MATCH($C45,'ORG-Metrics'!$A$1:$A$38,0),MATCH(G$1,'ORG-Metrics'!$1:$1,0)),"")</f>
        <v/>
      </c>
      <c r="H45" s="21" t="str">
        <f>IFERROR(INDEX('ORG-Metrics'!$A$1:$U$38,MATCH($C45,'ORG-Metrics'!$A$1:$A$38,0),MATCH(H$1,'ORG-Metrics'!$1:$1,0)),"")</f>
        <v/>
      </c>
      <c r="I45" s="21" t="str">
        <f>IFERROR(INDEX('ORG-Metrics'!$A$1:$U$38,MATCH($C45,'ORG-Metrics'!$A$1:$A$38,0),MATCH(I$1,'ORG-Metrics'!$1:$1,0)),"")</f>
        <v/>
      </c>
      <c r="J45" s="21" t="str">
        <f>IFERROR(INDEX('ORG-Metrics'!$A$1:$U$38,MATCH($C45,'ORG-Metrics'!$A$1:$A$38,0),MATCH(J$1,'ORG-Metrics'!$1:$1,0)),"")</f>
        <v/>
      </c>
      <c r="K45" s="21" t="str">
        <f>IFERROR(INDEX('ORG-Metrics'!$A$1:$U$38,MATCH($C45,'ORG-Metrics'!$A$1:$A$38,0),MATCH(K$1,'ORG-Metrics'!$1:$1,0)),"")</f>
        <v/>
      </c>
      <c r="L45" s="21" t="str">
        <f>IFERROR(INDEX('ORG-Metrics'!$A$1:$U$38,MATCH($C45,'ORG-Metrics'!$A$1:$A$38,0),MATCH(L$1,'ORG-Metrics'!$1:$1,0)),"")</f>
        <v/>
      </c>
      <c r="M45" s="21" t="str">
        <f>IFERROR(INDEX('ORG-Metrics'!$A$1:$U$38,MATCH($C45,'ORG-Metrics'!$A$1:$A$38,0),MATCH(M$1,'ORG-Metrics'!$1:$1,0)),"")</f>
        <v/>
      </c>
      <c r="N45" s="21" t="str">
        <f>IFERROR(INDEX('ORG-Metrics'!$A$1:$U$38,MATCH($C45,'ORG-Metrics'!$A$1:$A$38,0),MATCH(N$1,'ORG-Metrics'!$1:$1,0)),"")</f>
        <v/>
      </c>
      <c r="O45" s="21" t="str">
        <f>IFERROR(INDEX('ORG-Metrics'!$A$1:$U$38,MATCH($C45,'ORG-Metrics'!$A$1:$A$38,0),MATCH(O$1,'ORG-Metrics'!$1:$1,0)),"")</f>
        <v/>
      </c>
      <c r="P45" s="21" t="str">
        <f>IFERROR(INDEX('ORG-Metrics'!$A$1:$U$38,MATCH($C45,'ORG-Metrics'!$A$1:$A$38,0),MATCH(P$1,'ORG-Metrics'!$1:$1,0)),"")</f>
        <v/>
      </c>
      <c r="Q45" s="21" t="str">
        <f>IFERROR(INDEX('ORG-Metrics'!$A$1:$U$38,MATCH($C45,'ORG-Metrics'!$A$1:$A$38,0),MATCH(Q$1,'ORG-Metrics'!$1:$1,0)),"")</f>
        <v/>
      </c>
      <c r="R45" s="21" t="str">
        <f>IFERROR(INDEX('ORG-Metrics'!$A$1:$U$38,MATCH($C45,'ORG-Metrics'!$A$1:$A$38,0),MATCH(R$1,'ORG-Metrics'!$1:$1,0)),"")</f>
        <v/>
      </c>
      <c r="S45" s="21" t="str">
        <f>IFERROR(INDEX('ORG-Metrics'!$A$1:$U$38,MATCH($C45,'ORG-Metrics'!$A$1:$A$38,0),MATCH(S$1,'ORG-Metrics'!$1:$1,0)),"")</f>
        <v/>
      </c>
      <c r="T45" s="21" t="str">
        <f>IFERROR(INDEX('ORG-Metrics'!$A$1:$U$38,MATCH($C45,'ORG-Metrics'!$A$1:$A$38,0),MATCH(T$1,'ORG-Metrics'!$1:$1,0)),"")</f>
        <v/>
      </c>
      <c r="U45" s="21" t="str">
        <f>IFERROR(INDEX('ORG-Metrics'!$A$1:$U$38,MATCH($C45,'ORG-Metrics'!$A$1:$A$38,0),MATCH(U$1,'ORG-Metrics'!$1:$1,0)),"")</f>
        <v/>
      </c>
      <c r="V45" t="str">
        <f>IFERROR(INDEX('ORG-Metrics'!$A$1:$U$38,MATCH($C45,'ORG-Metrics'!$A$1:$A$38,0),MATCH(V$1,'ORG-Metrics'!$1:$1,0)),"")</f>
        <v/>
      </c>
      <c r="W45" t="str">
        <f>IFERROR(INDEX('ORG-Metrics'!$A$1:$U$38,MATCH($C45,'ORG-Metrics'!$A$1:$A$38,0),MATCH(W$1,'ORG-Metrics'!$1:$1,0)),"")</f>
        <v/>
      </c>
    </row>
    <row r="46" spans="4:23" x14ac:dyDescent="0.3">
      <c r="D46" s="21" t="str">
        <f>IFERROR(INDEX('ORG-Metrics'!$A$1:$U$38,MATCH($C46,'ORG-Metrics'!$A$1:$A$38,0),MATCH(D$1,'ORG-Metrics'!$1:$1,0)),"")</f>
        <v/>
      </c>
      <c r="E46" s="21" t="str">
        <f>IFERROR(INDEX('ORG-Metrics'!$A$1:$U$38,MATCH($C46,'ORG-Metrics'!$A$1:$A$38,0),MATCH(E$1,'ORG-Metrics'!$1:$1,0)),"")</f>
        <v/>
      </c>
      <c r="F46" s="21" t="str">
        <f>IFERROR(INDEX('ORG-Metrics'!$A$1:$U$38,MATCH($C46,'ORG-Metrics'!$A$1:$A$38,0),MATCH(F$1,'ORG-Metrics'!$1:$1,0)),"")</f>
        <v/>
      </c>
      <c r="G46" s="21" t="str">
        <f>IFERROR(INDEX('ORG-Metrics'!$A$1:$U$38,MATCH($C46,'ORG-Metrics'!$A$1:$A$38,0),MATCH(G$1,'ORG-Metrics'!$1:$1,0)),"")</f>
        <v/>
      </c>
      <c r="H46" s="21" t="str">
        <f>IFERROR(INDEX('ORG-Metrics'!$A$1:$U$38,MATCH($C46,'ORG-Metrics'!$A$1:$A$38,0),MATCH(H$1,'ORG-Metrics'!$1:$1,0)),"")</f>
        <v/>
      </c>
      <c r="I46" s="21" t="str">
        <f>IFERROR(INDEX('ORG-Metrics'!$A$1:$U$38,MATCH($C46,'ORG-Metrics'!$A$1:$A$38,0),MATCH(I$1,'ORG-Metrics'!$1:$1,0)),"")</f>
        <v/>
      </c>
      <c r="J46" s="21" t="str">
        <f>IFERROR(INDEX('ORG-Metrics'!$A$1:$U$38,MATCH($C46,'ORG-Metrics'!$A$1:$A$38,0),MATCH(J$1,'ORG-Metrics'!$1:$1,0)),"")</f>
        <v/>
      </c>
      <c r="K46" s="21" t="str">
        <f>IFERROR(INDEX('ORG-Metrics'!$A$1:$U$38,MATCH($C46,'ORG-Metrics'!$A$1:$A$38,0),MATCH(K$1,'ORG-Metrics'!$1:$1,0)),"")</f>
        <v/>
      </c>
      <c r="L46" s="21" t="str">
        <f>IFERROR(INDEX('ORG-Metrics'!$A$1:$U$38,MATCH($C46,'ORG-Metrics'!$A$1:$A$38,0),MATCH(L$1,'ORG-Metrics'!$1:$1,0)),"")</f>
        <v/>
      </c>
      <c r="M46" s="21" t="str">
        <f>IFERROR(INDEX('ORG-Metrics'!$A$1:$U$38,MATCH($C46,'ORG-Metrics'!$A$1:$A$38,0),MATCH(M$1,'ORG-Metrics'!$1:$1,0)),"")</f>
        <v/>
      </c>
      <c r="N46" s="21" t="str">
        <f>IFERROR(INDEX('ORG-Metrics'!$A$1:$U$38,MATCH($C46,'ORG-Metrics'!$A$1:$A$38,0),MATCH(N$1,'ORG-Metrics'!$1:$1,0)),"")</f>
        <v/>
      </c>
      <c r="O46" s="21" t="str">
        <f>IFERROR(INDEX('ORG-Metrics'!$A$1:$U$38,MATCH($C46,'ORG-Metrics'!$A$1:$A$38,0),MATCH(O$1,'ORG-Metrics'!$1:$1,0)),"")</f>
        <v/>
      </c>
      <c r="P46" s="21" t="str">
        <f>IFERROR(INDEX('ORG-Metrics'!$A$1:$U$38,MATCH($C46,'ORG-Metrics'!$A$1:$A$38,0),MATCH(P$1,'ORG-Metrics'!$1:$1,0)),"")</f>
        <v/>
      </c>
      <c r="Q46" s="21" t="str">
        <f>IFERROR(INDEX('ORG-Metrics'!$A$1:$U$38,MATCH($C46,'ORG-Metrics'!$A$1:$A$38,0),MATCH(Q$1,'ORG-Metrics'!$1:$1,0)),"")</f>
        <v/>
      </c>
      <c r="R46" s="21" t="str">
        <f>IFERROR(INDEX('ORG-Metrics'!$A$1:$U$38,MATCH($C46,'ORG-Metrics'!$A$1:$A$38,0),MATCH(R$1,'ORG-Metrics'!$1:$1,0)),"")</f>
        <v/>
      </c>
      <c r="S46" s="21" t="str">
        <f>IFERROR(INDEX('ORG-Metrics'!$A$1:$U$38,MATCH($C46,'ORG-Metrics'!$A$1:$A$38,0),MATCH(S$1,'ORG-Metrics'!$1:$1,0)),"")</f>
        <v/>
      </c>
      <c r="T46" s="21" t="str">
        <f>IFERROR(INDEX('ORG-Metrics'!$A$1:$U$38,MATCH($C46,'ORG-Metrics'!$A$1:$A$38,0),MATCH(T$1,'ORG-Metrics'!$1:$1,0)),"")</f>
        <v/>
      </c>
      <c r="U46" s="21" t="str">
        <f>IFERROR(INDEX('ORG-Metrics'!$A$1:$U$38,MATCH($C46,'ORG-Metrics'!$A$1:$A$38,0),MATCH(U$1,'ORG-Metrics'!$1:$1,0)),"")</f>
        <v/>
      </c>
      <c r="V46" t="str">
        <f>IFERROR(INDEX('ORG-Metrics'!$A$1:$U$38,MATCH($C46,'ORG-Metrics'!$A$1:$A$38,0),MATCH(V$1,'ORG-Metrics'!$1:$1,0)),"")</f>
        <v/>
      </c>
      <c r="W46" t="str">
        <f>IFERROR(INDEX('ORG-Metrics'!$A$1:$U$38,MATCH($C46,'ORG-Metrics'!$A$1:$A$38,0),MATCH(W$1,'ORG-Metrics'!$1:$1,0)),"")</f>
        <v/>
      </c>
    </row>
    <row r="47" spans="4:23" x14ac:dyDescent="0.3">
      <c r="D47" s="21" t="str">
        <f>IFERROR(INDEX('ORG-Metrics'!$A$1:$U$38,MATCH($C47,'ORG-Metrics'!$A$1:$A$38,0),MATCH(D$1,'ORG-Metrics'!$1:$1,0)),"")</f>
        <v/>
      </c>
      <c r="E47" s="21" t="str">
        <f>IFERROR(INDEX('ORG-Metrics'!$A$1:$U$38,MATCH($C47,'ORG-Metrics'!$A$1:$A$38,0),MATCH(E$1,'ORG-Metrics'!$1:$1,0)),"")</f>
        <v/>
      </c>
      <c r="F47" s="21" t="str">
        <f>IFERROR(INDEX('ORG-Metrics'!$A$1:$U$38,MATCH($C47,'ORG-Metrics'!$A$1:$A$38,0),MATCH(F$1,'ORG-Metrics'!$1:$1,0)),"")</f>
        <v/>
      </c>
      <c r="G47" s="21" t="str">
        <f>IFERROR(INDEX('ORG-Metrics'!$A$1:$U$38,MATCH($C47,'ORG-Metrics'!$A$1:$A$38,0),MATCH(G$1,'ORG-Metrics'!$1:$1,0)),"")</f>
        <v/>
      </c>
      <c r="H47" s="21" t="str">
        <f>IFERROR(INDEX('ORG-Metrics'!$A$1:$U$38,MATCH($C47,'ORG-Metrics'!$A$1:$A$38,0),MATCH(H$1,'ORG-Metrics'!$1:$1,0)),"")</f>
        <v/>
      </c>
      <c r="I47" s="21" t="str">
        <f>IFERROR(INDEX('ORG-Metrics'!$A$1:$U$38,MATCH($C47,'ORG-Metrics'!$A$1:$A$38,0),MATCH(I$1,'ORG-Metrics'!$1:$1,0)),"")</f>
        <v/>
      </c>
      <c r="J47" s="21" t="str">
        <f>IFERROR(INDEX('ORG-Metrics'!$A$1:$U$38,MATCH($C47,'ORG-Metrics'!$A$1:$A$38,0),MATCH(J$1,'ORG-Metrics'!$1:$1,0)),"")</f>
        <v/>
      </c>
      <c r="K47" s="21" t="str">
        <f>IFERROR(INDEX('ORG-Metrics'!$A$1:$U$38,MATCH($C47,'ORG-Metrics'!$A$1:$A$38,0),MATCH(K$1,'ORG-Metrics'!$1:$1,0)),"")</f>
        <v/>
      </c>
      <c r="L47" s="21" t="str">
        <f>IFERROR(INDEX('ORG-Metrics'!$A$1:$U$38,MATCH($C47,'ORG-Metrics'!$A$1:$A$38,0),MATCH(L$1,'ORG-Metrics'!$1:$1,0)),"")</f>
        <v/>
      </c>
      <c r="M47" s="21" t="str">
        <f>IFERROR(INDEX('ORG-Metrics'!$A$1:$U$38,MATCH($C47,'ORG-Metrics'!$A$1:$A$38,0),MATCH(M$1,'ORG-Metrics'!$1:$1,0)),"")</f>
        <v/>
      </c>
      <c r="N47" s="21" t="str">
        <f>IFERROR(INDEX('ORG-Metrics'!$A$1:$U$38,MATCH($C47,'ORG-Metrics'!$A$1:$A$38,0),MATCH(N$1,'ORG-Metrics'!$1:$1,0)),"")</f>
        <v/>
      </c>
      <c r="O47" s="21" t="str">
        <f>IFERROR(INDEX('ORG-Metrics'!$A$1:$U$38,MATCH($C47,'ORG-Metrics'!$A$1:$A$38,0),MATCH(O$1,'ORG-Metrics'!$1:$1,0)),"")</f>
        <v/>
      </c>
      <c r="P47" s="21" t="str">
        <f>IFERROR(INDEX('ORG-Metrics'!$A$1:$U$38,MATCH($C47,'ORG-Metrics'!$A$1:$A$38,0),MATCH(P$1,'ORG-Metrics'!$1:$1,0)),"")</f>
        <v/>
      </c>
      <c r="Q47" s="21" t="str">
        <f>IFERROR(INDEX('ORG-Metrics'!$A$1:$U$38,MATCH($C47,'ORG-Metrics'!$A$1:$A$38,0),MATCH(Q$1,'ORG-Metrics'!$1:$1,0)),"")</f>
        <v/>
      </c>
      <c r="R47" s="21" t="str">
        <f>IFERROR(INDEX('ORG-Metrics'!$A$1:$U$38,MATCH($C47,'ORG-Metrics'!$A$1:$A$38,0),MATCH(R$1,'ORG-Metrics'!$1:$1,0)),"")</f>
        <v/>
      </c>
      <c r="S47" s="21" t="str">
        <f>IFERROR(INDEX('ORG-Metrics'!$A$1:$U$38,MATCH($C47,'ORG-Metrics'!$A$1:$A$38,0),MATCH(S$1,'ORG-Metrics'!$1:$1,0)),"")</f>
        <v/>
      </c>
      <c r="T47" s="21" t="str">
        <f>IFERROR(INDEX('ORG-Metrics'!$A$1:$U$38,MATCH($C47,'ORG-Metrics'!$A$1:$A$38,0),MATCH(T$1,'ORG-Metrics'!$1:$1,0)),"")</f>
        <v/>
      </c>
      <c r="U47" s="21" t="str">
        <f>IFERROR(INDEX('ORG-Metrics'!$A$1:$U$38,MATCH($C47,'ORG-Metrics'!$A$1:$A$38,0),MATCH(U$1,'ORG-Metrics'!$1:$1,0)),"")</f>
        <v/>
      </c>
      <c r="V47" t="str">
        <f>IFERROR(INDEX('ORG-Metrics'!$A$1:$U$38,MATCH($C47,'ORG-Metrics'!$A$1:$A$38,0),MATCH(V$1,'ORG-Metrics'!$1:$1,0)),"")</f>
        <v/>
      </c>
      <c r="W47" t="str">
        <f>IFERROR(INDEX('ORG-Metrics'!$A$1:$U$38,MATCH($C47,'ORG-Metrics'!$A$1:$A$38,0),MATCH(W$1,'ORG-Metrics'!$1:$1,0)),"")</f>
        <v/>
      </c>
    </row>
    <row r="48" spans="4:23" x14ac:dyDescent="0.3">
      <c r="D48" s="21" t="str">
        <f>IFERROR(INDEX('ORG-Metrics'!$A$1:$U$38,MATCH($C48,'ORG-Metrics'!$A$1:$A$38,0),MATCH(D$1,'ORG-Metrics'!$1:$1,0)),"")</f>
        <v/>
      </c>
      <c r="E48" s="21" t="str">
        <f>IFERROR(INDEX('ORG-Metrics'!$A$1:$U$38,MATCH($C48,'ORG-Metrics'!$A$1:$A$38,0),MATCH(E$1,'ORG-Metrics'!$1:$1,0)),"")</f>
        <v/>
      </c>
      <c r="F48" s="21" t="str">
        <f>IFERROR(INDEX('ORG-Metrics'!$A$1:$U$38,MATCH($C48,'ORG-Metrics'!$A$1:$A$38,0),MATCH(F$1,'ORG-Metrics'!$1:$1,0)),"")</f>
        <v/>
      </c>
      <c r="G48" s="21" t="str">
        <f>IFERROR(INDEX('ORG-Metrics'!$A$1:$U$38,MATCH($C48,'ORG-Metrics'!$A$1:$A$38,0),MATCH(G$1,'ORG-Metrics'!$1:$1,0)),"")</f>
        <v/>
      </c>
      <c r="H48" s="21" t="str">
        <f>IFERROR(INDEX('ORG-Metrics'!$A$1:$U$38,MATCH($C48,'ORG-Metrics'!$A$1:$A$38,0),MATCH(H$1,'ORG-Metrics'!$1:$1,0)),"")</f>
        <v/>
      </c>
      <c r="I48" s="21" t="str">
        <f>IFERROR(INDEX('ORG-Metrics'!$A$1:$U$38,MATCH($C48,'ORG-Metrics'!$A$1:$A$38,0),MATCH(I$1,'ORG-Metrics'!$1:$1,0)),"")</f>
        <v/>
      </c>
      <c r="J48" s="21" t="str">
        <f>IFERROR(INDEX('ORG-Metrics'!$A$1:$U$38,MATCH($C48,'ORG-Metrics'!$A$1:$A$38,0),MATCH(J$1,'ORG-Metrics'!$1:$1,0)),"")</f>
        <v/>
      </c>
      <c r="K48" s="21" t="str">
        <f>IFERROR(INDEX('ORG-Metrics'!$A$1:$U$38,MATCH($C48,'ORG-Metrics'!$A$1:$A$38,0),MATCH(K$1,'ORG-Metrics'!$1:$1,0)),"")</f>
        <v/>
      </c>
      <c r="L48" s="21" t="str">
        <f>IFERROR(INDEX('ORG-Metrics'!$A$1:$U$38,MATCH($C48,'ORG-Metrics'!$A$1:$A$38,0),MATCH(L$1,'ORG-Metrics'!$1:$1,0)),"")</f>
        <v/>
      </c>
      <c r="M48" s="21" t="str">
        <f>IFERROR(INDEX('ORG-Metrics'!$A$1:$U$38,MATCH($C48,'ORG-Metrics'!$A$1:$A$38,0),MATCH(M$1,'ORG-Metrics'!$1:$1,0)),"")</f>
        <v/>
      </c>
      <c r="N48" s="21" t="str">
        <f>IFERROR(INDEX('ORG-Metrics'!$A$1:$U$38,MATCH($C48,'ORG-Metrics'!$A$1:$A$38,0),MATCH(N$1,'ORG-Metrics'!$1:$1,0)),"")</f>
        <v/>
      </c>
      <c r="O48" s="21" t="str">
        <f>IFERROR(INDEX('ORG-Metrics'!$A$1:$U$38,MATCH($C48,'ORG-Metrics'!$A$1:$A$38,0),MATCH(O$1,'ORG-Metrics'!$1:$1,0)),"")</f>
        <v/>
      </c>
      <c r="P48" s="21" t="str">
        <f>IFERROR(INDEX('ORG-Metrics'!$A$1:$U$38,MATCH($C48,'ORG-Metrics'!$A$1:$A$38,0),MATCH(P$1,'ORG-Metrics'!$1:$1,0)),"")</f>
        <v/>
      </c>
      <c r="Q48" s="21" t="str">
        <f>IFERROR(INDEX('ORG-Metrics'!$A$1:$U$38,MATCH($C48,'ORG-Metrics'!$A$1:$A$38,0),MATCH(Q$1,'ORG-Metrics'!$1:$1,0)),"")</f>
        <v/>
      </c>
      <c r="R48" s="21" t="str">
        <f>IFERROR(INDEX('ORG-Metrics'!$A$1:$U$38,MATCH($C48,'ORG-Metrics'!$A$1:$A$38,0),MATCH(R$1,'ORG-Metrics'!$1:$1,0)),"")</f>
        <v/>
      </c>
      <c r="S48" s="21" t="str">
        <f>IFERROR(INDEX('ORG-Metrics'!$A$1:$U$38,MATCH($C48,'ORG-Metrics'!$A$1:$A$38,0),MATCH(S$1,'ORG-Metrics'!$1:$1,0)),"")</f>
        <v/>
      </c>
      <c r="T48" s="21" t="str">
        <f>IFERROR(INDEX('ORG-Metrics'!$A$1:$U$38,MATCH($C48,'ORG-Metrics'!$A$1:$A$38,0),MATCH(T$1,'ORG-Metrics'!$1:$1,0)),"")</f>
        <v/>
      </c>
      <c r="U48" s="21" t="str">
        <f>IFERROR(INDEX('ORG-Metrics'!$A$1:$U$38,MATCH($C48,'ORG-Metrics'!$A$1:$A$38,0),MATCH(U$1,'ORG-Metrics'!$1:$1,0)),"")</f>
        <v/>
      </c>
      <c r="V48" t="str">
        <f>IFERROR(INDEX('ORG-Metrics'!$A$1:$U$38,MATCH($C48,'ORG-Metrics'!$A$1:$A$38,0),MATCH(V$1,'ORG-Metrics'!$1:$1,0)),"")</f>
        <v/>
      </c>
      <c r="W48" t="str">
        <f>IFERROR(INDEX('ORG-Metrics'!$A$1:$U$38,MATCH($C48,'ORG-Metrics'!$A$1:$A$38,0),MATCH(W$1,'ORG-Metrics'!$1:$1,0)),"")</f>
        <v/>
      </c>
    </row>
    <row r="49" spans="4:23" x14ac:dyDescent="0.3">
      <c r="D49" s="21" t="str">
        <f>IFERROR(INDEX('ORG-Metrics'!$A$1:$U$38,MATCH($C49,'ORG-Metrics'!$A$1:$A$38,0),MATCH(D$1,'ORG-Metrics'!$1:$1,0)),"")</f>
        <v/>
      </c>
      <c r="E49" s="21" t="str">
        <f>IFERROR(INDEX('ORG-Metrics'!$A$1:$U$38,MATCH($C49,'ORG-Metrics'!$A$1:$A$38,0),MATCH(E$1,'ORG-Metrics'!$1:$1,0)),"")</f>
        <v/>
      </c>
      <c r="F49" s="21" t="str">
        <f>IFERROR(INDEX('ORG-Metrics'!$A$1:$U$38,MATCH($C49,'ORG-Metrics'!$A$1:$A$38,0),MATCH(F$1,'ORG-Metrics'!$1:$1,0)),"")</f>
        <v/>
      </c>
      <c r="G49" s="21" t="str">
        <f>IFERROR(INDEX('ORG-Metrics'!$A$1:$U$38,MATCH($C49,'ORG-Metrics'!$A$1:$A$38,0),MATCH(G$1,'ORG-Metrics'!$1:$1,0)),"")</f>
        <v/>
      </c>
      <c r="H49" s="21" t="str">
        <f>IFERROR(INDEX('ORG-Metrics'!$A$1:$U$38,MATCH($C49,'ORG-Metrics'!$A$1:$A$38,0),MATCH(H$1,'ORG-Metrics'!$1:$1,0)),"")</f>
        <v/>
      </c>
      <c r="I49" s="21" t="str">
        <f>IFERROR(INDEX('ORG-Metrics'!$A$1:$U$38,MATCH($C49,'ORG-Metrics'!$A$1:$A$38,0),MATCH(I$1,'ORG-Metrics'!$1:$1,0)),"")</f>
        <v/>
      </c>
      <c r="J49" s="21" t="str">
        <f>IFERROR(INDEX('ORG-Metrics'!$A$1:$U$38,MATCH($C49,'ORG-Metrics'!$A$1:$A$38,0),MATCH(J$1,'ORG-Metrics'!$1:$1,0)),"")</f>
        <v/>
      </c>
      <c r="K49" s="21" t="str">
        <f>IFERROR(INDEX('ORG-Metrics'!$A$1:$U$38,MATCH($C49,'ORG-Metrics'!$A$1:$A$38,0),MATCH(K$1,'ORG-Metrics'!$1:$1,0)),"")</f>
        <v/>
      </c>
      <c r="L49" s="21" t="str">
        <f>IFERROR(INDEX('ORG-Metrics'!$A$1:$U$38,MATCH($C49,'ORG-Metrics'!$A$1:$A$38,0),MATCH(L$1,'ORG-Metrics'!$1:$1,0)),"")</f>
        <v/>
      </c>
      <c r="M49" s="21" t="str">
        <f>IFERROR(INDEX('ORG-Metrics'!$A$1:$U$38,MATCH($C49,'ORG-Metrics'!$A$1:$A$38,0),MATCH(M$1,'ORG-Metrics'!$1:$1,0)),"")</f>
        <v/>
      </c>
      <c r="N49" s="21" t="str">
        <f>IFERROR(INDEX('ORG-Metrics'!$A$1:$U$38,MATCH($C49,'ORG-Metrics'!$A$1:$A$38,0),MATCH(N$1,'ORG-Metrics'!$1:$1,0)),"")</f>
        <v/>
      </c>
      <c r="O49" s="21" t="str">
        <f>IFERROR(INDEX('ORG-Metrics'!$A$1:$U$38,MATCH($C49,'ORG-Metrics'!$A$1:$A$38,0),MATCH(O$1,'ORG-Metrics'!$1:$1,0)),"")</f>
        <v/>
      </c>
      <c r="P49" s="21" t="str">
        <f>IFERROR(INDEX('ORG-Metrics'!$A$1:$U$38,MATCH($C49,'ORG-Metrics'!$A$1:$A$38,0),MATCH(P$1,'ORG-Metrics'!$1:$1,0)),"")</f>
        <v/>
      </c>
      <c r="Q49" s="21" t="str">
        <f>IFERROR(INDEX('ORG-Metrics'!$A$1:$U$38,MATCH($C49,'ORG-Metrics'!$A$1:$A$38,0),MATCH(Q$1,'ORG-Metrics'!$1:$1,0)),"")</f>
        <v/>
      </c>
      <c r="R49" s="21" t="str">
        <f>IFERROR(INDEX('ORG-Metrics'!$A$1:$U$38,MATCH($C49,'ORG-Metrics'!$A$1:$A$38,0),MATCH(R$1,'ORG-Metrics'!$1:$1,0)),"")</f>
        <v/>
      </c>
      <c r="S49" s="21" t="str">
        <f>IFERROR(INDEX('ORG-Metrics'!$A$1:$U$38,MATCH($C49,'ORG-Metrics'!$A$1:$A$38,0),MATCH(S$1,'ORG-Metrics'!$1:$1,0)),"")</f>
        <v/>
      </c>
      <c r="T49" s="21" t="str">
        <f>IFERROR(INDEX('ORG-Metrics'!$A$1:$U$38,MATCH($C49,'ORG-Metrics'!$A$1:$A$38,0),MATCH(T$1,'ORG-Metrics'!$1:$1,0)),"")</f>
        <v/>
      </c>
      <c r="U49" s="21" t="str">
        <f>IFERROR(INDEX('ORG-Metrics'!$A$1:$U$38,MATCH($C49,'ORG-Metrics'!$A$1:$A$38,0),MATCH(U$1,'ORG-Metrics'!$1:$1,0)),"")</f>
        <v/>
      </c>
      <c r="V49" t="str">
        <f>IFERROR(INDEX('ORG-Metrics'!$A$1:$U$38,MATCH($C49,'ORG-Metrics'!$A$1:$A$38,0),MATCH(V$1,'ORG-Metrics'!$1:$1,0)),"")</f>
        <v/>
      </c>
      <c r="W49" t="str">
        <f>IFERROR(INDEX('ORG-Metrics'!$A$1:$U$38,MATCH($C49,'ORG-Metrics'!$A$1:$A$38,0),MATCH(W$1,'ORG-Metrics'!$1:$1,0)),"")</f>
        <v/>
      </c>
    </row>
    <row r="50" spans="4:23" x14ac:dyDescent="0.3">
      <c r="D50" s="21" t="str">
        <f>IFERROR(INDEX('ORG-Metrics'!$A$1:$U$38,MATCH($C50,'ORG-Metrics'!$A$1:$A$38,0),MATCH(D$1,'ORG-Metrics'!$1:$1,0)),"")</f>
        <v/>
      </c>
      <c r="E50" s="21" t="str">
        <f>IFERROR(INDEX('ORG-Metrics'!$A$1:$U$38,MATCH($C50,'ORG-Metrics'!$A$1:$A$38,0),MATCH(E$1,'ORG-Metrics'!$1:$1,0)),"")</f>
        <v/>
      </c>
      <c r="F50" s="21" t="str">
        <f>IFERROR(INDEX('ORG-Metrics'!$A$1:$U$38,MATCH($C50,'ORG-Metrics'!$A$1:$A$38,0),MATCH(F$1,'ORG-Metrics'!$1:$1,0)),"")</f>
        <v/>
      </c>
      <c r="G50" s="21" t="str">
        <f>IFERROR(INDEX('ORG-Metrics'!$A$1:$U$38,MATCH($C50,'ORG-Metrics'!$A$1:$A$38,0),MATCH(G$1,'ORG-Metrics'!$1:$1,0)),"")</f>
        <v/>
      </c>
      <c r="H50" s="21" t="str">
        <f>IFERROR(INDEX('ORG-Metrics'!$A$1:$U$38,MATCH($C50,'ORG-Metrics'!$A$1:$A$38,0),MATCH(H$1,'ORG-Metrics'!$1:$1,0)),"")</f>
        <v/>
      </c>
      <c r="I50" s="21" t="str">
        <f>IFERROR(INDEX('ORG-Metrics'!$A$1:$U$38,MATCH($C50,'ORG-Metrics'!$A$1:$A$38,0),MATCH(I$1,'ORG-Metrics'!$1:$1,0)),"")</f>
        <v/>
      </c>
      <c r="J50" s="21" t="str">
        <f>IFERROR(INDEX('ORG-Metrics'!$A$1:$U$38,MATCH($C50,'ORG-Metrics'!$A$1:$A$38,0),MATCH(J$1,'ORG-Metrics'!$1:$1,0)),"")</f>
        <v/>
      </c>
      <c r="K50" s="21" t="str">
        <f>IFERROR(INDEX('ORG-Metrics'!$A$1:$U$38,MATCH($C50,'ORG-Metrics'!$A$1:$A$38,0),MATCH(K$1,'ORG-Metrics'!$1:$1,0)),"")</f>
        <v/>
      </c>
      <c r="L50" s="21" t="str">
        <f>IFERROR(INDEX('ORG-Metrics'!$A$1:$U$38,MATCH($C50,'ORG-Metrics'!$A$1:$A$38,0),MATCH(L$1,'ORG-Metrics'!$1:$1,0)),"")</f>
        <v/>
      </c>
      <c r="M50" s="21" t="str">
        <f>IFERROR(INDEX('ORG-Metrics'!$A$1:$U$38,MATCH($C50,'ORG-Metrics'!$A$1:$A$38,0),MATCH(M$1,'ORG-Metrics'!$1:$1,0)),"")</f>
        <v/>
      </c>
      <c r="N50" s="21" t="str">
        <f>IFERROR(INDEX('ORG-Metrics'!$A$1:$U$38,MATCH($C50,'ORG-Metrics'!$A$1:$A$38,0),MATCH(N$1,'ORG-Metrics'!$1:$1,0)),"")</f>
        <v/>
      </c>
      <c r="O50" s="21" t="str">
        <f>IFERROR(INDEX('ORG-Metrics'!$A$1:$U$38,MATCH($C50,'ORG-Metrics'!$A$1:$A$38,0),MATCH(O$1,'ORG-Metrics'!$1:$1,0)),"")</f>
        <v/>
      </c>
      <c r="P50" s="21" t="str">
        <f>IFERROR(INDEX('ORG-Metrics'!$A$1:$U$38,MATCH($C50,'ORG-Metrics'!$A$1:$A$38,0),MATCH(P$1,'ORG-Metrics'!$1:$1,0)),"")</f>
        <v/>
      </c>
      <c r="Q50" s="21" t="str">
        <f>IFERROR(INDEX('ORG-Metrics'!$A$1:$U$38,MATCH($C50,'ORG-Metrics'!$A$1:$A$38,0),MATCH(Q$1,'ORG-Metrics'!$1:$1,0)),"")</f>
        <v/>
      </c>
      <c r="R50" s="21" t="str">
        <f>IFERROR(INDEX('ORG-Metrics'!$A$1:$U$38,MATCH($C50,'ORG-Metrics'!$A$1:$A$38,0),MATCH(R$1,'ORG-Metrics'!$1:$1,0)),"")</f>
        <v/>
      </c>
      <c r="S50" s="21" t="str">
        <f>IFERROR(INDEX('ORG-Metrics'!$A$1:$U$38,MATCH($C50,'ORG-Metrics'!$A$1:$A$38,0),MATCH(S$1,'ORG-Metrics'!$1:$1,0)),"")</f>
        <v/>
      </c>
      <c r="T50" s="21" t="str">
        <f>IFERROR(INDEX('ORG-Metrics'!$A$1:$U$38,MATCH($C50,'ORG-Metrics'!$A$1:$A$38,0),MATCH(T$1,'ORG-Metrics'!$1:$1,0)),"")</f>
        <v/>
      </c>
      <c r="U50" s="21" t="str">
        <f>IFERROR(INDEX('ORG-Metrics'!$A$1:$U$38,MATCH($C50,'ORG-Metrics'!$A$1:$A$38,0),MATCH(U$1,'ORG-Metrics'!$1:$1,0)),"")</f>
        <v/>
      </c>
      <c r="V50" t="str">
        <f>IFERROR(INDEX('ORG-Metrics'!$A$1:$U$38,MATCH($C50,'ORG-Metrics'!$A$1:$A$38,0),MATCH(V$1,'ORG-Metrics'!$1:$1,0)),"")</f>
        <v/>
      </c>
      <c r="W50" t="str">
        <f>IFERROR(INDEX('ORG-Metrics'!$A$1:$U$38,MATCH($C50,'ORG-Metrics'!$A$1:$A$38,0),MATCH(W$1,'ORG-Metrics'!$1:$1,0)),"")</f>
        <v/>
      </c>
    </row>
    <row r="51" spans="4:23" x14ac:dyDescent="0.3">
      <c r="D51" s="21" t="str">
        <f>IFERROR(INDEX('ORG-Metrics'!$A$1:$U$38,MATCH($C51,'ORG-Metrics'!$A$1:$A$38,0),MATCH(D$1,'ORG-Metrics'!$1:$1,0)),"")</f>
        <v/>
      </c>
      <c r="E51" s="21" t="str">
        <f>IFERROR(INDEX('ORG-Metrics'!$A$1:$U$38,MATCH($C51,'ORG-Metrics'!$A$1:$A$38,0),MATCH(E$1,'ORG-Metrics'!$1:$1,0)),"")</f>
        <v/>
      </c>
      <c r="F51" s="21" t="str">
        <f>IFERROR(INDEX('ORG-Metrics'!$A$1:$U$38,MATCH($C51,'ORG-Metrics'!$A$1:$A$38,0),MATCH(F$1,'ORG-Metrics'!$1:$1,0)),"")</f>
        <v/>
      </c>
      <c r="G51" s="21" t="str">
        <f>IFERROR(INDEX('ORG-Metrics'!$A$1:$U$38,MATCH($C51,'ORG-Metrics'!$A$1:$A$38,0),MATCH(G$1,'ORG-Metrics'!$1:$1,0)),"")</f>
        <v/>
      </c>
      <c r="H51" s="21" t="str">
        <f>IFERROR(INDEX('ORG-Metrics'!$A$1:$U$38,MATCH($C51,'ORG-Metrics'!$A$1:$A$38,0),MATCH(H$1,'ORG-Metrics'!$1:$1,0)),"")</f>
        <v/>
      </c>
      <c r="I51" s="21" t="str">
        <f>IFERROR(INDEX('ORG-Metrics'!$A$1:$U$38,MATCH($C51,'ORG-Metrics'!$A$1:$A$38,0),MATCH(I$1,'ORG-Metrics'!$1:$1,0)),"")</f>
        <v/>
      </c>
      <c r="J51" s="21" t="str">
        <f>IFERROR(INDEX('ORG-Metrics'!$A$1:$U$38,MATCH($C51,'ORG-Metrics'!$A$1:$A$38,0),MATCH(J$1,'ORG-Metrics'!$1:$1,0)),"")</f>
        <v/>
      </c>
      <c r="K51" s="21" t="str">
        <f>IFERROR(INDEX('ORG-Metrics'!$A$1:$U$38,MATCH($C51,'ORG-Metrics'!$A$1:$A$38,0),MATCH(K$1,'ORG-Metrics'!$1:$1,0)),"")</f>
        <v/>
      </c>
      <c r="L51" s="21" t="str">
        <f>IFERROR(INDEX('ORG-Metrics'!$A$1:$U$38,MATCH($C51,'ORG-Metrics'!$A$1:$A$38,0),MATCH(L$1,'ORG-Metrics'!$1:$1,0)),"")</f>
        <v/>
      </c>
      <c r="M51" s="21" t="str">
        <f>IFERROR(INDEX('ORG-Metrics'!$A$1:$U$38,MATCH($C51,'ORG-Metrics'!$A$1:$A$38,0),MATCH(M$1,'ORG-Metrics'!$1:$1,0)),"")</f>
        <v/>
      </c>
      <c r="N51" s="21" t="str">
        <f>IFERROR(INDEX('ORG-Metrics'!$A$1:$U$38,MATCH($C51,'ORG-Metrics'!$A$1:$A$38,0),MATCH(N$1,'ORG-Metrics'!$1:$1,0)),"")</f>
        <v/>
      </c>
      <c r="O51" s="21" t="str">
        <f>IFERROR(INDEX('ORG-Metrics'!$A$1:$U$38,MATCH($C51,'ORG-Metrics'!$A$1:$A$38,0),MATCH(O$1,'ORG-Metrics'!$1:$1,0)),"")</f>
        <v/>
      </c>
      <c r="P51" s="21" t="str">
        <f>IFERROR(INDEX('ORG-Metrics'!$A$1:$U$38,MATCH($C51,'ORG-Metrics'!$A$1:$A$38,0),MATCH(P$1,'ORG-Metrics'!$1:$1,0)),"")</f>
        <v/>
      </c>
      <c r="Q51" s="21" t="str">
        <f>IFERROR(INDEX('ORG-Metrics'!$A$1:$U$38,MATCH($C51,'ORG-Metrics'!$A$1:$A$38,0),MATCH(Q$1,'ORG-Metrics'!$1:$1,0)),"")</f>
        <v/>
      </c>
      <c r="R51" s="21" t="str">
        <f>IFERROR(INDEX('ORG-Metrics'!$A$1:$U$38,MATCH($C51,'ORG-Metrics'!$A$1:$A$38,0),MATCH(R$1,'ORG-Metrics'!$1:$1,0)),"")</f>
        <v/>
      </c>
      <c r="S51" s="21" t="str">
        <f>IFERROR(INDEX('ORG-Metrics'!$A$1:$U$38,MATCH($C51,'ORG-Metrics'!$A$1:$A$38,0),MATCH(S$1,'ORG-Metrics'!$1:$1,0)),"")</f>
        <v/>
      </c>
      <c r="T51" s="21" t="str">
        <f>IFERROR(INDEX('ORG-Metrics'!$A$1:$U$38,MATCH($C51,'ORG-Metrics'!$A$1:$A$38,0),MATCH(T$1,'ORG-Metrics'!$1:$1,0)),"")</f>
        <v/>
      </c>
      <c r="U51" s="21" t="str">
        <f>IFERROR(INDEX('ORG-Metrics'!$A$1:$U$38,MATCH($C51,'ORG-Metrics'!$A$1:$A$38,0),MATCH(U$1,'ORG-Metrics'!$1:$1,0)),"")</f>
        <v/>
      </c>
      <c r="V51" t="str">
        <f>IFERROR(INDEX('ORG-Metrics'!$A$1:$U$38,MATCH($C51,'ORG-Metrics'!$A$1:$A$38,0),MATCH(V$1,'ORG-Metrics'!$1:$1,0)),"")</f>
        <v/>
      </c>
      <c r="W51" t="str">
        <f>IFERROR(INDEX('ORG-Metrics'!$A$1:$U$38,MATCH($C51,'ORG-Metrics'!$A$1:$A$38,0),MATCH(W$1,'ORG-Metrics'!$1:$1,0)),"")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9438B-D698-D949-A446-0A32147C1103}">
  <sheetPr codeName="Sheet17"/>
  <dimension ref="A1:G42"/>
  <sheetViews>
    <sheetView workbookViewId="0">
      <selection activeCell="I24" sqref="I24"/>
    </sheetView>
  </sheetViews>
  <sheetFormatPr defaultColWidth="11" defaultRowHeight="15.6" x14ac:dyDescent="0.3"/>
  <cols>
    <col min="1" max="1" width="13.09765625" customWidth="1"/>
    <col min="7" max="7" width="45.59765625" bestFit="1" customWidth="1"/>
  </cols>
  <sheetData>
    <row r="1" spans="1:7" x14ac:dyDescent="0.3">
      <c r="B1" s="214" t="s">
        <v>33</v>
      </c>
      <c r="C1" s="214"/>
      <c r="D1" s="214" t="s">
        <v>34</v>
      </c>
      <c r="E1" s="214"/>
      <c r="F1" s="214" t="s">
        <v>35</v>
      </c>
      <c r="G1" s="214"/>
    </row>
    <row r="2" spans="1:7" x14ac:dyDescent="0.3">
      <c r="A2" s="65" t="s">
        <v>36</v>
      </c>
      <c r="B2" s="22" t="str" cm="1">
        <f t="array" ref="B2:B42">Normalized_Input!A3:INDEX(Normalized_Input!A:A,MAX((Normalized_Input!A:A&lt;&gt;"")*(ROW(Normalized_Input!A:A))))</f>
        <v>Cost per Patient-day</v>
      </c>
      <c r="C2" s="22" t="str" cm="1">
        <f t="array" ref="C2:C42">Normalized_Input!B3:INDEX(Normalized_Input!B:B,MAX((Normalized_Input!B:B&lt;&gt;"")*(ROW(Normalized_Input!B:B))))</f>
        <v>Surgical ALC Days</v>
      </c>
      <c r="D2" t="str" cm="1">
        <f t="array" ref="D2:D42">Normalized_Output!A3:INDEX(Normalized_Output!A:A,MAX((Normalized_Output!A:A&lt;&gt;"")*(ROW(Normalized_Output!A:A))))</f>
        <v>Surgical Cases</v>
      </c>
      <c r="E2" t="str" cm="1">
        <f t="array" ref="E2:E42">Normalized_Output!B3:INDEX(Normalized_Output!B:B,MAX((Normalized_Output!B:B&lt;&gt;"")*(ROW(Normalized_Output!B:B))))</f>
        <v>Hip Fracture Cases</v>
      </c>
      <c r="F2" t="str">
        <f>D2 &amp; "/" &amp; B2</f>
        <v>Surgical Cases/Cost per Patient-day</v>
      </c>
      <c r="G2" t="str">
        <f>E2 &amp; "/" &amp; C2</f>
        <v>Hip Fracture Cases/Surgical ALC Days</v>
      </c>
    </row>
    <row r="3" spans="1:7" x14ac:dyDescent="0.3">
      <c r="A3" t="str" cm="1">
        <f t="array" ref="A3:A10">_xlfn._xlws.FILTER(_xlfn.VSTACK(_xlfn._xlws.FILTER(Selector!M3:M23,Selector!O3:O23=TRUE,""),_xlfn._xlws.FILTER(Selector!Q3:Q23,Selector!S3:S23=TRUE,"")),_xlfn.VSTACK(_xlfn._xlws.FILTER(Selector!M3:M23,Selector!O3:O23=TRUE,""),_xlfn._xlws.FILTER(Selector!Q3:Q23,Selector!S3:S23=TRUE,""))&lt;&gt;0)</f>
        <v>AB</v>
      </c>
      <c r="B3" s="22">
        <v>0.94598305870281763</v>
      </c>
      <c r="C3">
        <v>0.38187225080354792</v>
      </c>
      <c r="D3">
        <v>0.85202668086890643</v>
      </c>
      <c r="E3">
        <v>0.9664314272305633</v>
      </c>
      <c r="F3">
        <f>D3/B3</f>
        <v>0.90067858301527182</v>
      </c>
      <c r="G3">
        <f>E3/C3</f>
        <v>2.5307715478068049</v>
      </c>
    </row>
    <row r="4" spans="1:7" x14ac:dyDescent="0.3">
      <c r="A4" t="str">
        <v>AJ</v>
      </c>
      <c r="B4" s="22">
        <v>0.97543330781015758</v>
      </c>
      <c r="C4">
        <v>0.889742218476403</v>
      </c>
      <c r="D4">
        <v>0.83005441530555846</v>
      </c>
      <c r="E4">
        <v>0.37418827207835009</v>
      </c>
      <c r="F4">
        <f t="shared" ref="F4:F7" si="0">D4/B4</f>
        <v>0.85095967982580589</v>
      </c>
      <c r="G4">
        <f t="shared" ref="G4:G7" si="1">E4/C4</f>
        <v>0.42055807211116847</v>
      </c>
    </row>
    <row r="5" spans="1:7" x14ac:dyDescent="0.3">
      <c r="A5" t="str">
        <v>E</v>
      </c>
      <c r="B5" s="22">
        <v>1</v>
      </c>
      <c r="C5">
        <v>0.89496723090408226</v>
      </c>
      <c r="D5">
        <v>0.82883523907964562</v>
      </c>
      <c r="E5">
        <v>0.76412066074533669</v>
      </c>
      <c r="F5">
        <f t="shared" si="0"/>
        <v>0.82883523907964562</v>
      </c>
      <c r="G5">
        <f t="shared" si="1"/>
        <v>0.85379736191394806</v>
      </c>
    </row>
    <row r="6" spans="1:7" x14ac:dyDescent="0.3">
      <c r="A6" t="str">
        <v>L</v>
      </c>
      <c r="B6" s="22">
        <v>0.97279595492088378</v>
      </c>
      <c r="C6">
        <v>0.54149033881608566</v>
      </c>
      <c r="D6">
        <v>0.78706719191767904</v>
      </c>
      <c r="E6">
        <v>0.59141961593853176</v>
      </c>
      <c r="F6">
        <f t="shared" si="0"/>
        <v>0.80907736914026351</v>
      </c>
      <c r="G6">
        <f t="shared" si="1"/>
        <v>1.0922071430334499</v>
      </c>
    </row>
    <row r="7" spans="1:7" x14ac:dyDescent="0.3">
      <c r="A7" t="str">
        <v>M</v>
      </c>
      <c r="B7" s="22">
        <v>0.97349600742007503</v>
      </c>
      <c r="C7">
        <v>0.30454900887694719</v>
      </c>
      <c r="D7">
        <v>0.89973777176104952</v>
      </c>
      <c r="E7">
        <v>0.74271776126549904</v>
      </c>
      <c r="F7">
        <f t="shared" si="0"/>
        <v>0.92423365365976484</v>
      </c>
      <c r="G7">
        <f t="shared" si="1"/>
        <v>2.4387462760241445</v>
      </c>
    </row>
    <row r="8" spans="1:7" x14ac:dyDescent="0.3">
      <c r="A8" t="str">
        <v>Q</v>
      </c>
      <c r="B8" s="22">
        <v>0.9336902954497206</v>
      </c>
      <c r="C8">
        <v>0.87083623636059604</v>
      </c>
      <c r="D8">
        <v>0.82142417213754015</v>
      </c>
      <c r="E8">
        <v>0.9258483683110561</v>
      </c>
      <c r="F8">
        <f t="shared" ref="F8:F22" si="2">D8/B8</f>
        <v>0.87976085447251395</v>
      </c>
      <c r="G8">
        <f t="shared" ref="G8:G22" si="3">E8/C8</f>
        <v>1.0631716155730577</v>
      </c>
    </row>
    <row r="9" spans="1:7" x14ac:dyDescent="0.3">
      <c r="A9" t="str">
        <v>Z</v>
      </c>
      <c r="B9" s="22">
        <v>0.93306401242758841</v>
      </c>
      <c r="C9">
        <v>1</v>
      </c>
      <c r="D9">
        <v>1</v>
      </c>
      <c r="E9">
        <v>1</v>
      </c>
      <c r="F9">
        <f t="shared" si="2"/>
        <v>1.071737830074768</v>
      </c>
      <c r="G9">
        <f t="shared" si="3"/>
        <v>1</v>
      </c>
    </row>
    <row r="10" spans="1:7" x14ac:dyDescent="0.3">
      <c r="A10" t="str">
        <v/>
      </c>
      <c r="B10" s="22">
        <v>0</v>
      </c>
      <c r="C10">
        <v>0</v>
      </c>
      <c r="D10">
        <v>0</v>
      </c>
      <c r="E10">
        <v>0</v>
      </c>
      <c r="F10" t="e">
        <f t="shared" si="2"/>
        <v>#DIV/0!</v>
      </c>
      <c r="G10" t="e">
        <f t="shared" si="3"/>
        <v>#DIV/0!</v>
      </c>
    </row>
    <row r="11" spans="1:7" x14ac:dyDescent="0.3">
      <c r="B11" s="22">
        <v>0</v>
      </c>
      <c r="C11">
        <v>0</v>
      </c>
      <c r="D11">
        <v>0</v>
      </c>
      <c r="E11">
        <v>0</v>
      </c>
      <c r="F11" t="e">
        <f t="shared" si="2"/>
        <v>#DIV/0!</v>
      </c>
      <c r="G11" t="e">
        <f t="shared" si="3"/>
        <v>#DIV/0!</v>
      </c>
    </row>
    <row r="12" spans="1:7" x14ac:dyDescent="0.3">
      <c r="B12" s="22">
        <v>0</v>
      </c>
      <c r="C12">
        <v>0</v>
      </c>
      <c r="D12">
        <v>0</v>
      </c>
      <c r="E12">
        <v>0</v>
      </c>
      <c r="F12" t="e">
        <f t="shared" si="2"/>
        <v>#DIV/0!</v>
      </c>
      <c r="G12" t="e">
        <f t="shared" si="3"/>
        <v>#DIV/0!</v>
      </c>
    </row>
    <row r="13" spans="1:7" x14ac:dyDescent="0.3">
      <c r="B13" s="22">
        <v>0</v>
      </c>
      <c r="C13">
        <v>0</v>
      </c>
      <c r="D13">
        <v>0</v>
      </c>
      <c r="E13">
        <v>0</v>
      </c>
      <c r="F13" t="e">
        <f t="shared" si="2"/>
        <v>#DIV/0!</v>
      </c>
      <c r="G13" t="e">
        <f t="shared" si="3"/>
        <v>#DIV/0!</v>
      </c>
    </row>
    <row r="14" spans="1:7" x14ac:dyDescent="0.3">
      <c r="B14" s="22">
        <v>0</v>
      </c>
      <c r="C14">
        <v>0</v>
      </c>
      <c r="D14">
        <v>0</v>
      </c>
      <c r="E14">
        <v>0</v>
      </c>
      <c r="F14" t="e">
        <f t="shared" si="2"/>
        <v>#DIV/0!</v>
      </c>
      <c r="G14" t="e">
        <f t="shared" si="3"/>
        <v>#DIV/0!</v>
      </c>
    </row>
    <row r="15" spans="1:7" x14ac:dyDescent="0.3">
      <c r="B15" s="22">
        <v>0</v>
      </c>
      <c r="C15">
        <v>0</v>
      </c>
      <c r="D15">
        <v>0</v>
      </c>
      <c r="E15">
        <v>0</v>
      </c>
      <c r="F15" t="e">
        <f t="shared" si="2"/>
        <v>#DIV/0!</v>
      </c>
      <c r="G15" t="e">
        <f t="shared" si="3"/>
        <v>#DIV/0!</v>
      </c>
    </row>
    <row r="16" spans="1:7" x14ac:dyDescent="0.3">
      <c r="B16" s="22">
        <v>0</v>
      </c>
      <c r="C16">
        <v>0</v>
      </c>
      <c r="D16">
        <v>0</v>
      </c>
      <c r="E16">
        <v>0</v>
      </c>
      <c r="F16" t="e">
        <f t="shared" si="2"/>
        <v>#DIV/0!</v>
      </c>
      <c r="G16" t="e">
        <f t="shared" si="3"/>
        <v>#DIV/0!</v>
      </c>
    </row>
    <row r="17" spans="2:7" x14ac:dyDescent="0.3">
      <c r="B17" s="22">
        <v>0</v>
      </c>
      <c r="C17">
        <v>0</v>
      </c>
      <c r="D17">
        <v>0</v>
      </c>
      <c r="E17">
        <v>0</v>
      </c>
      <c r="F17" t="e">
        <f t="shared" si="2"/>
        <v>#DIV/0!</v>
      </c>
      <c r="G17" t="e">
        <f t="shared" si="3"/>
        <v>#DIV/0!</v>
      </c>
    </row>
    <row r="18" spans="2:7" x14ac:dyDescent="0.3">
      <c r="B18" s="22">
        <v>0</v>
      </c>
      <c r="C18">
        <v>0</v>
      </c>
      <c r="D18">
        <v>0</v>
      </c>
      <c r="E18">
        <v>0</v>
      </c>
      <c r="F18" t="e">
        <f t="shared" si="2"/>
        <v>#DIV/0!</v>
      </c>
      <c r="G18" t="e">
        <f t="shared" si="3"/>
        <v>#DIV/0!</v>
      </c>
    </row>
    <row r="19" spans="2:7" x14ac:dyDescent="0.3">
      <c r="B19" s="22">
        <v>0</v>
      </c>
      <c r="C19">
        <v>0</v>
      </c>
      <c r="D19">
        <v>0</v>
      </c>
      <c r="E19">
        <v>0</v>
      </c>
      <c r="F19" t="e">
        <f t="shared" si="2"/>
        <v>#DIV/0!</v>
      </c>
      <c r="G19" t="e">
        <f t="shared" si="3"/>
        <v>#DIV/0!</v>
      </c>
    </row>
    <row r="20" spans="2:7" x14ac:dyDescent="0.3">
      <c r="B20" s="22">
        <v>0</v>
      </c>
      <c r="C20">
        <v>0</v>
      </c>
      <c r="D20">
        <v>0</v>
      </c>
      <c r="E20">
        <v>0</v>
      </c>
      <c r="F20" t="e">
        <f t="shared" si="2"/>
        <v>#DIV/0!</v>
      </c>
      <c r="G20" t="e">
        <f t="shared" si="3"/>
        <v>#DIV/0!</v>
      </c>
    </row>
    <row r="21" spans="2:7" x14ac:dyDescent="0.3">
      <c r="B21" s="22">
        <v>0</v>
      </c>
      <c r="C21">
        <v>0</v>
      </c>
      <c r="D21">
        <v>0</v>
      </c>
      <c r="E21">
        <v>0</v>
      </c>
      <c r="F21" t="e">
        <f t="shared" si="2"/>
        <v>#DIV/0!</v>
      </c>
      <c r="G21" t="e">
        <f t="shared" si="3"/>
        <v>#DIV/0!</v>
      </c>
    </row>
    <row r="22" spans="2:7" x14ac:dyDescent="0.3">
      <c r="B22" s="22">
        <v>0</v>
      </c>
      <c r="C22">
        <v>0</v>
      </c>
      <c r="D22">
        <v>0</v>
      </c>
      <c r="E22">
        <v>0</v>
      </c>
      <c r="F22" t="e">
        <f t="shared" si="2"/>
        <v>#DIV/0!</v>
      </c>
      <c r="G22" t="e">
        <f t="shared" si="3"/>
        <v>#DIV/0!</v>
      </c>
    </row>
    <row r="23" spans="2:7" x14ac:dyDescent="0.3">
      <c r="B23" s="22">
        <v>0</v>
      </c>
      <c r="C23">
        <v>0</v>
      </c>
      <c r="D23">
        <v>0</v>
      </c>
      <c r="E23">
        <v>0</v>
      </c>
      <c r="F23" t="e">
        <f t="shared" ref="F23:F42" si="4">D23/B23</f>
        <v>#DIV/0!</v>
      </c>
      <c r="G23" t="e">
        <f t="shared" ref="G23:G42" si="5">E23/C23</f>
        <v>#DIV/0!</v>
      </c>
    </row>
    <row r="24" spans="2:7" x14ac:dyDescent="0.3">
      <c r="B24" s="22">
        <v>0</v>
      </c>
      <c r="C24">
        <v>0</v>
      </c>
      <c r="D24">
        <v>0</v>
      </c>
      <c r="E24">
        <v>0</v>
      </c>
      <c r="F24" t="e">
        <f t="shared" si="4"/>
        <v>#DIV/0!</v>
      </c>
      <c r="G24" t="e">
        <f t="shared" si="5"/>
        <v>#DIV/0!</v>
      </c>
    </row>
    <row r="25" spans="2:7" x14ac:dyDescent="0.3">
      <c r="B25" s="22">
        <v>0</v>
      </c>
      <c r="C25">
        <v>0</v>
      </c>
      <c r="D25">
        <v>0</v>
      </c>
      <c r="E25">
        <v>0</v>
      </c>
      <c r="F25" t="e">
        <f t="shared" si="4"/>
        <v>#DIV/0!</v>
      </c>
      <c r="G25" t="e">
        <f t="shared" si="5"/>
        <v>#DIV/0!</v>
      </c>
    </row>
    <row r="26" spans="2:7" x14ac:dyDescent="0.3">
      <c r="B26" s="22">
        <v>0</v>
      </c>
      <c r="C26">
        <v>0</v>
      </c>
      <c r="D26">
        <v>0</v>
      </c>
      <c r="E26">
        <v>0</v>
      </c>
      <c r="F26" t="e">
        <f t="shared" si="4"/>
        <v>#DIV/0!</v>
      </c>
      <c r="G26" t="e">
        <f t="shared" si="5"/>
        <v>#DIV/0!</v>
      </c>
    </row>
    <row r="27" spans="2:7" x14ac:dyDescent="0.3">
      <c r="B27" s="22">
        <v>0</v>
      </c>
      <c r="C27">
        <v>0</v>
      </c>
      <c r="D27">
        <v>0</v>
      </c>
      <c r="E27">
        <v>0</v>
      </c>
      <c r="F27" t="e">
        <f t="shared" si="4"/>
        <v>#DIV/0!</v>
      </c>
      <c r="G27" t="e">
        <f t="shared" si="5"/>
        <v>#DIV/0!</v>
      </c>
    </row>
    <row r="28" spans="2:7" x14ac:dyDescent="0.3">
      <c r="B28" s="22">
        <v>0</v>
      </c>
      <c r="C28">
        <v>0</v>
      </c>
      <c r="D28">
        <v>0</v>
      </c>
      <c r="E28">
        <v>0</v>
      </c>
      <c r="F28" t="e">
        <f t="shared" si="4"/>
        <v>#DIV/0!</v>
      </c>
      <c r="G28" t="e">
        <f t="shared" si="5"/>
        <v>#DIV/0!</v>
      </c>
    </row>
    <row r="29" spans="2:7" x14ac:dyDescent="0.3">
      <c r="B29" s="22">
        <v>0</v>
      </c>
      <c r="C29">
        <v>0</v>
      </c>
      <c r="D29">
        <v>0</v>
      </c>
      <c r="E29">
        <v>0</v>
      </c>
      <c r="F29" t="e">
        <f t="shared" si="4"/>
        <v>#DIV/0!</v>
      </c>
      <c r="G29" t="e">
        <f t="shared" si="5"/>
        <v>#DIV/0!</v>
      </c>
    </row>
    <row r="30" spans="2:7" x14ac:dyDescent="0.3">
      <c r="B30" s="22">
        <v>0</v>
      </c>
      <c r="C30">
        <v>0</v>
      </c>
      <c r="D30">
        <v>0</v>
      </c>
      <c r="E30">
        <v>0</v>
      </c>
      <c r="F30" t="e">
        <f t="shared" si="4"/>
        <v>#DIV/0!</v>
      </c>
      <c r="G30" t="e">
        <f t="shared" si="5"/>
        <v>#DIV/0!</v>
      </c>
    </row>
    <row r="31" spans="2:7" x14ac:dyDescent="0.3">
      <c r="B31" s="22">
        <v>0</v>
      </c>
      <c r="C31">
        <v>0</v>
      </c>
      <c r="D31">
        <v>0</v>
      </c>
      <c r="E31">
        <v>0</v>
      </c>
      <c r="F31" t="e">
        <f t="shared" si="4"/>
        <v>#DIV/0!</v>
      </c>
      <c r="G31" t="e">
        <f t="shared" si="5"/>
        <v>#DIV/0!</v>
      </c>
    </row>
    <row r="32" spans="2:7" x14ac:dyDescent="0.3">
      <c r="B32" s="22">
        <v>0</v>
      </c>
      <c r="C32">
        <v>0</v>
      </c>
      <c r="D32">
        <v>0</v>
      </c>
      <c r="E32">
        <v>0</v>
      </c>
      <c r="F32" t="e">
        <f t="shared" si="4"/>
        <v>#DIV/0!</v>
      </c>
      <c r="G32" t="e">
        <f t="shared" si="5"/>
        <v>#DIV/0!</v>
      </c>
    </row>
    <row r="33" spans="2:7" x14ac:dyDescent="0.3">
      <c r="B33" s="22">
        <v>0</v>
      </c>
      <c r="C33">
        <v>0</v>
      </c>
      <c r="D33">
        <v>0</v>
      </c>
      <c r="E33">
        <v>0</v>
      </c>
      <c r="F33" t="e">
        <f t="shared" si="4"/>
        <v>#DIV/0!</v>
      </c>
      <c r="G33" t="e">
        <f t="shared" si="5"/>
        <v>#DIV/0!</v>
      </c>
    </row>
    <row r="34" spans="2:7" x14ac:dyDescent="0.3">
      <c r="B34" s="22">
        <v>0</v>
      </c>
      <c r="C34">
        <v>0</v>
      </c>
      <c r="D34">
        <v>0</v>
      </c>
      <c r="E34">
        <v>0</v>
      </c>
      <c r="F34" t="e">
        <f t="shared" si="4"/>
        <v>#DIV/0!</v>
      </c>
      <c r="G34" t="e">
        <f t="shared" si="5"/>
        <v>#DIV/0!</v>
      </c>
    </row>
    <row r="35" spans="2:7" x14ac:dyDescent="0.3">
      <c r="B35" s="22">
        <v>0</v>
      </c>
      <c r="C35">
        <v>0</v>
      </c>
      <c r="D35">
        <v>0</v>
      </c>
      <c r="E35">
        <v>0</v>
      </c>
      <c r="F35" t="e">
        <f t="shared" si="4"/>
        <v>#DIV/0!</v>
      </c>
      <c r="G35" t="e">
        <f t="shared" si="5"/>
        <v>#DIV/0!</v>
      </c>
    </row>
    <row r="36" spans="2:7" x14ac:dyDescent="0.3">
      <c r="B36">
        <v>0</v>
      </c>
      <c r="C36">
        <v>0</v>
      </c>
      <c r="D36">
        <v>0</v>
      </c>
      <c r="E36">
        <v>0</v>
      </c>
      <c r="F36" t="e">
        <f t="shared" si="4"/>
        <v>#DIV/0!</v>
      </c>
      <c r="G36" t="e">
        <f t="shared" si="5"/>
        <v>#DIV/0!</v>
      </c>
    </row>
    <row r="37" spans="2:7" x14ac:dyDescent="0.3">
      <c r="B37">
        <v>0</v>
      </c>
      <c r="C37">
        <v>0</v>
      </c>
      <c r="D37">
        <v>0</v>
      </c>
      <c r="E37">
        <v>0</v>
      </c>
      <c r="F37" t="e">
        <f t="shared" si="4"/>
        <v>#DIV/0!</v>
      </c>
      <c r="G37" t="e">
        <f t="shared" si="5"/>
        <v>#DIV/0!</v>
      </c>
    </row>
    <row r="38" spans="2:7" x14ac:dyDescent="0.3">
      <c r="B38">
        <v>0</v>
      </c>
      <c r="C38">
        <v>0</v>
      </c>
      <c r="D38">
        <v>0</v>
      </c>
      <c r="E38">
        <v>0</v>
      </c>
      <c r="F38" t="e">
        <f t="shared" si="4"/>
        <v>#DIV/0!</v>
      </c>
      <c r="G38" t="e">
        <f t="shared" si="5"/>
        <v>#DIV/0!</v>
      </c>
    </row>
    <row r="39" spans="2:7" x14ac:dyDescent="0.3">
      <c r="B39">
        <v>0</v>
      </c>
      <c r="C39">
        <v>0</v>
      </c>
      <c r="D39">
        <v>0</v>
      </c>
      <c r="E39">
        <v>0</v>
      </c>
      <c r="F39" t="e">
        <f t="shared" si="4"/>
        <v>#DIV/0!</v>
      </c>
      <c r="G39" t="e">
        <f t="shared" si="5"/>
        <v>#DIV/0!</v>
      </c>
    </row>
    <row r="40" spans="2:7" x14ac:dyDescent="0.3">
      <c r="B40">
        <v>0</v>
      </c>
      <c r="C40">
        <v>0</v>
      </c>
      <c r="D40">
        <v>0</v>
      </c>
      <c r="E40">
        <v>0</v>
      </c>
      <c r="F40" t="e">
        <f t="shared" si="4"/>
        <v>#DIV/0!</v>
      </c>
      <c r="G40" t="e">
        <f t="shared" si="5"/>
        <v>#DIV/0!</v>
      </c>
    </row>
    <row r="41" spans="2:7" x14ac:dyDescent="0.3">
      <c r="B41">
        <v>0</v>
      </c>
      <c r="C41">
        <v>0</v>
      </c>
      <c r="D41">
        <v>0</v>
      </c>
      <c r="E41">
        <v>0</v>
      </c>
      <c r="F41" t="e">
        <f t="shared" si="4"/>
        <v>#DIV/0!</v>
      </c>
      <c r="G41" t="e">
        <f t="shared" si="5"/>
        <v>#DIV/0!</v>
      </c>
    </row>
    <row r="42" spans="2:7" x14ac:dyDescent="0.3">
      <c r="B42">
        <v>0</v>
      </c>
      <c r="C42">
        <v>0</v>
      </c>
      <c r="D42">
        <v>0</v>
      </c>
      <c r="E42">
        <v>0</v>
      </c>
      <c r="F42" t="e">
        <f t="shared" si="4"/>
        <v>#DIV/0!</v>
      </c>
      <c r="G42" t="e">
        <f t="shared" si="5"/>
        <v>#DIV/0!</v>
      </c>
    </row>
  </sheetData>
  <mergeCells count="3">
    <mergeCell ref="B1:C1"/>
    <mergeCell ref="D1:E1"/>
    <mergeCell ref="F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2619-41D5-4426-8C1F-C25734799032}">
  <sheetPr codeName="Sheet10"/>
  <dimension ref="A1:V43"/>
  <sheetViews>
    <sheetView workbookViewId="0">
      <selection activeCell="K27" sqref="K27"/>
    </sheetView>
  </sheetViews>
  <sheetFormatPr defaultColWidth="8.8984375" defaultRowHeight="15.6" x14ac:dyDescent="0.3"/>
  <cols>
    <col min="1" max="1" width="24.59765625" bestFit="1" customWidth="1"/>
    <col min="2" max="2" width="24.5" bestFit="1" customWidth="1"/>
    <col min="3" max="3" width="12" customWidth="1"/>
    <col min="20" max="20" width="32.09765625" bestFit="1" customWidth="1"/>
  </cols>
  <sheetData>
    <row r="1" spans="1:22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</row>
    <row r="2" spans="1:22" x14ac:dyDescent="0.3">
      <c r="A2" t="s">
        <v>34</v>
      </c>
      <c r="B2" t="s">
        <v>34</v>
      </c>
      <c r="C2" t="s">
        <v>34</v>
      </c>
      <c r="D2" t="s">
        <v>34</v>
      </c>
      <c r="E2" t="s">
        <v>34</v>
      </c>
      <c r="F2" t="s">
        <v>34</v>
      </c>
      <c r="G2" t="s">
        <v>34</v>
      </c>
      <c r="H2" t="s">
        <v>34</v>
      </c>
      <c r="I2" t="s">
        <v>34</v>
      </c>
      <c r="J2" t="s">
        <v>34</v>
      </c>
      <c r="K2" t="s">
        <v>34</v>
      </c>
      <c r="L2" t="s">
        <v>34</v>
      </c>
      <c r="M2" t="s">
        <v>34</v>
      </c>
      <c r="N2" t="s">
        <v>34</v>
      </c>
      <c r="O2" t="s">
        <v>34</v>
      </c>
      <c r="P2" t="s">
        <v>34</v>
      </c>
      <c r="Q2" t="s">
        <v>34</v>
      </c>
      <c r="R2" t="s">
        <v>34</v>
      </c>
      <c r="S2" t="s">
        <v>34</v>
      </c>
      <c r="T2" t="s">
        <v>34</v>
      </c>
      <c r="U2" t="s">
        <v>34</v>
      </c>
      <c r="V2" t="s">
        <v>34</v>
      </c>
    </row>
    <row r="3" spans="1:22" x14ac:dyDescent="0.3">
      <c r="A3" s="22" t="str" cm="1">
        <f t="array" ref="A3:B3">_xlfn._xlws.FILTER(Output!D1:W1,Output!D1:W1&lt;&gt;0)</f>
        <v>Surgical Cases</v>
      </c>
      <c r="B3" s="22" t="str">
        <v>Hip Fracture Cases</v>
      </c>
    </row>
    <row r="4" spans="1:22" x14ac:dyDescent="0.3">
      <c r="A4" s="22" cm="1">
        <f t="array" ref="A4:A43">IFERROR(Output!D2:D41/MAX(Output!D2:D41),0)</f>
        <v>0.85202668086890643</v>
      </c>
      <c r="B4" s="22" cm="1">
        <f t="array" ref="B4:B43">IFERROR(Output!E2:E41/MAX(Output!E2:E41),0)</f>
        <v>0.9664314272305633</v>
      </c>
      <c r="C4" s="22" cm="1">
        <f t="array" ref="C4:C43">IFERROR(Output!F2:F41/MAX(Output!F2:F41),0)</f>
        <v>0</v>
      </c>
      <c r="D4" s="22" cm="1">
        <f t="array" ref="D4:D43">IFERROR(Output!G2:G41/MAX(Output!G2:G41),0)</f>
        <v>0</v>
      </c>
      <c r="E4" s="22" cm="1">
        <f t="array" ref="E4:E43">IFERROR(Output!H2:H41/MAX(Output!H2:H41),0)</f>
        <v>0</v>
      </c>
      <c r="F4" s="22" cm="1">
        <f t="array" ref="F4:F43">IFERROR(Output!I2:I41/MAX(Output!I2:I41),0)</f>
        <v>0</v>
      </c>
      <c r="G4" s="22" cm="1">
        <f t="array" ref="G4:G43">IFERROR(Output!J2:J41/MAX(Output!J2:J41),0)</f>
        <v>0</v>
      </c>
      <c r="H4" s="22" cm="1">
        <f t="array" ref="H4:H43">IFERROR(Output!K2:K41/MAX(Output!K2:K41),0)</f>
        <v>0</v>
      </c>
      <c r="I4" s="22" cm="1">
        <f t="array" ref="I4:I43">IFERROR(Output!L2:L41/MAX(Output!L2:L41),0)</f>
        <v>0</v>
      </c>
      <c r="J4" s="22" cm="1">
        <f t="array" ref="J4:J43">IFERROR(Output!M2:M41/MAX(Output!M2:M41),0)</f>
        <v>0</v>
      </c>
      <c r="K4" s="22" cm="1">
        <f t="array" ref="K4:K43">IFERROR(Output!N2:N41/MAX(Output!N2:N41),0)</f>
        <v>0</v>
      </c>
      <c r="L4" s="22" cm="1">
        <f t="array" ref="L4:L43">IFERROR(Output!O2:O41/MAX(Output!O2:O41),0)</f>
        <v>0</v>
      </c>
      <c r="M4" s="22" cm="1">
        <f t="array" ref="M4:M43">IFERROR(Output!P2:P41/MAX(Output!P2:P41),0)</f>
        <v>0</v>
      </c>
      <c r="N4" s="22" cm="1">
        <f t="array" ref="N4:N43">IFERROR(Output!Q2:Q41/MAX(Output!Q2:Q41),0)</f>
        <v>0</v>
      </c>
      <c r="O4" s="22" cm="1">
        <f t="array" ref="O4:O43">IFERROR(Output!R2:R41/MAX(Output!R2:R41),0)</f>
        <v>0</v>
      </c>
      <c r="P4" s="22" cm="1">
        <f t="array" ref="P4:P43">IFERROR(Output!S2:S41/MAX(Output!S2:S41),0)</f>
        <v>0</v>
      </c>
      <c r="Q4" s="22" cm="1">
        <f t="array" ref="Q4:Q43">IFERROR(Output!T2:T41/MAX(Output!T2:T41),0)</f>
        <v>0</v>
      </c>
      <c r="R4" s="22" cm="1">
        <f t="array" ref="R4:R43">IFERROR(Output!U2:U41/MAX(Output!U2:U41),0)</f>
        <v>0</v>
      </c>
      <c r="S4" s="22" cm="1">
        <f t="array" ref="S4:S43">IFERROR(Output!V2:V41/MAX(Output!V2:V41),0)</f>
        <v>0</v>
      </c>
      <c r="T4" s="22" cm="1">
        <f t="array" ref="T4:T43">IFERROR(Output!W2:W41/MAX(Output!W2:W41),0)</f>
        <v>0</v>
      </c>
      <c r="U4" s="22" cm="1">
        <f t="array" ref="U4:U43">IFERROR(Output!X2:X41/MAX(Output!X2:X41),0)</f>
        <v>0</v>
      </c>
      <c r="V4" s="22" cm="1">
        <f t="array" ref="V4:V43">IFERROR(Output!Y2:Y41/MAX(Output!Y2:Y41),0)</f>
        <v>0</v>
      </c>
    </row>
    <row r="5" spans="1:22" x14ac:dyDescent="0.3">
      <c r="A5" s="22">
        <v>0.83005441530555846</v>
      </c>
      <c r="B5" s="22">
        <v>0.37418827207835009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x14ac:dyDescent="0.3">
      <c r="A6" s="22">
        <v>0.82883523907964562</v>
      </c>
      <c r="B6" s="22">
        <v>0.76412066074533669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x14ac:dyDescent="0.3">
      <c r="A7" s="22">
        <v>0.78706719191767904</v>
      </c>
      <c r="B7" s="22">
        <v>0.59141961593853176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3">
      <c r="A8" s="22">
        <v>0.89973777176104952</v>
      </c>
      <c r="B8" s="22">
        <v>0.74271776126549904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x14ac:dyDescent="0.3">
      <c r="A9" s="22">
        <v>0.82142417213754015</v>
      </c>
      <c r="B9" s="22">
        <v>0.9258483683110561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x14ac:dyDescent="0.3">
      <c r="A10" s="22">
        <v>1</v>
      </c>
      <c r="B10" s="22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x14ac:dyDescent="0.3">
      <c r="A11" s="22">
        <v>0</v>
      </c>
      <c r="B11" s="22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3">
      <c r="A12" s="22">
        <v>0</v>
      </c>
      <c r="B12" s="2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3">
      <c r="A13" s="22">
        <v>0</v>
      </c>
      <c r="B13" s="22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3">
      <c r="A14" s="22">
        <v>0</v>
      </c>
      <c r="B14" s="22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3">
      <c r="A15" s="22">
        <v>0</v>
      </c>
      <c r="B15" s="22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3">
      <c r="A16" s="22">
        <v>0</v>
      </c>
      <c r="B16" s="22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3">
      <c r="A17" s="22">
        <v>0</v>
      </c>
      <c r="B17" s="22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3">
      <c r="A18" s="22">
        <v>0</v>
      </c>
      <c r="B18" s="22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3">
      <c r="A19" s="22">
        <v>0</v>
      </c>
      <c r="B19" s="22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3">
      <c r="A20" s="22">
        <v>0</v>
      </c>
      <c r="B20" s="22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x14ac:dyDescent="0.3">
      <c r="A21" s="22">
        <v>0</v>
      </c>
      <c r="B21" s="22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3">
      <c r="A22" s="22">
        <v>0</v>
      </c>
      <c r="B22" s="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x14ac:dyDescent="0.3">
      <c r="A23" s="22">
        <v>0</v>
      </c>
      <c r="B23" s="22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 x14ac:dyDescent="0.3">
      <c r="A24" s="22">
        <v>0</v>
      </c>
      <c r="B24" s="22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2" x14ac:dyDescent="0.3">
      <c r="A25" s="22">
        <v>0</v>
      </c>
      <c r="B25" s="22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 x14ac:dyDescent="0.3">
      <c r="A26" s="22">
        <v>0</v>
      </c>
      <c r="B26" s="22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 x14ac:dyDescent="0.3">
      <c r="A27" s="22">
        <v>0</v>
      </c>
      <c r="B27" s="22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x14ac:dyDescent="0.3">
      <c r="A28" s="22">
        <v>0</v>
      </c>
      <c r="B28" s="22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 x14ac:dyDescent="0.3">
      <c r="A29" s="22">
        <v>0</v>
      </c>
      <c r="B29" s="22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x14ac:dyDescent="0.3">
      <c r="A30" s="22">
        <v>0</v>
      </c>
      <c r="B30" s="22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 x14ac:dyDescent="0.3">
      <c r="A31" s="22">
        <v>0</v>
      </c>
      <c r="B31" s="22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3">
      <c r="A32" s="22">
        <v>0</v>
      </c>
      <c r="B32" s="2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1:22" x14ac:dyDescent="0.3">
      <c r="A33" s="22">
        <v>0</v>
      </c>
      <c r="B33" s="22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x14ac:dyDescent="0.3">
      <c r="A34" s="22">
        <v>0</v>
      </c>
      <c r="B34" s="22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</row>
    <row r="35" spans="1:22" x14ac:dyDescent="0.3">
      <c r="A35" s="22">
        <v>0</v>
      </c>
      <c r="B35" s="22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1:22" x14ac:dyDescent="0.3">
      <c r="A36" s="22">
        <v>0</v>
      </c>
      <c r="B36" s="22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 x14ac:dyDescent="0.3">
      <c r="A37" s="22">
        <v>0</v>
      </c>
      <c r="B37" s="22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 x14ac:dyDescent="0.3">
      <c r="A38" s="22">
        <v>0</v>
      </c>
      <c r="B38" s="22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</row>
    <row r="39" spans="1:22" x14ac:dyDescent="0.3">
      <c r="A39" s="22">
        <v>0</v>
      </c>
      <c r="B39" s="22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3">
      <c r="A40" s="22">
        <v>0</v>
      </c>
      <c r="B40" s="22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</row>
    <row r="41" spans="1:22" x14ac:dyDescent="0.3">
      <c r="A41" s="22">
        <v>0</v>
      </c>
      <c r="B41" s="22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x14ac:dyDescent="0.3">
      <c r="A42" s="22">
        <v>0</v>
      </c>
      <c r="B42" s="2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 x14ac:dyDescent="0.3">
      <c r="A43" s="22">
        <v>0</v>
      </c>
      <c r="B43" s="22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1166E-8EFE-4C02-B343-35889669C3DE}">
  <sheetPr codeName="Sheet12"/>
  <dimension ref="A1:V45"/>
  <sheetViews>
    <sheetView workbookViewId="0">
      <selection activeCell="A4" sqref="A4"/>
    </sheetView>
  </sheetViews>
  <sheetFormatPr defaultColWidth="8.8984375" defaultRowHeight="15.6" x14ac:dyDescent="0.3"/>
  <cols>
    <col min="1" max="1" width="24.59765625" bestFit="1" customWidth="1"/>
    <col min="2" max="2" width="24.5" bestFit="1" customWidth="1"/>
    <col min="3" max="3" width="12" customWidth="1"/>
  </cols>
  <sheetData>
    <row r="1" spans="1:22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</row>
    <row r="2" spans="1:22" x14ac:dyDescent="0.3">
      <c r="A2" t="s">
        <v>33</v>
      </c>
      <c r="B2" t="s">
        <v>33</v>
      </c>
      <c r="C2" t="s">
        <v>33</v>
      </c>
      <c r="D2" t="s">
        <v>33</v>
      </c>
      <c r="E2" t="s">
        <v>33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</row>
    <row r="3" spans="1:22" x14ac:dyDescent="0.3">
      <c r="A3" s="22" t="str" cm="1">
        <f t="array" ref="A3:B3">_xlfn._xlws.FILTER(Input!D1:W1,Input!D1:W1&lt;&gt;0)</f>
        <v>Cost per Patient-day</v>
      </c>
      <c r="B3" s="22" t="str">
        <v>Surgical ALC Days</v>
      </c>
    </row>
    <row r="4" spans="1:22" x14ac:dyDescent="0.3">
      <c r="A4" s="22" cm="1">
        <f t="array" ref="A4:A43">IFERROR(Input!D2:D41/MAX(Input!D2:D41),0)</f>
        <v>0.94598305870281763</v>
      </c>
      <c r="B4" s="22" cm="1">
        <f t="array" ref="B4:B43">IFERROR(Input!E2:E41/MAX(Input!E2:E41),0)</f>
        <v>0.38187225080354792</v>
      </c>
      <c r="C4" s="22" cm="1">
        <f t="array" ref="C4:C43">IFERROR(Input!F2:F41/MAX(Input!F2:F41),0)</f>
        <v>0</v>
      </c>
      <c r="D4" s="22" cm="1">
        <f t="array" ref="D4:D43">IFERROR(Input!G2:G41/MAX(Input!G2:G41),0)</f>
        <v>0</v>
      </c>
      <c r="E4" s="22" cm="1">
        <f t="array" ref="E4:E43">IFERROR(Input!H2:H41/MAX(Input!H2:H41),0)</f>
        <v>0</v>
      </c>
      <c r="F4" s="22" cm="1">
        <f t="array" ref="F4:F43">IFERROR(Input!I2:I41/MAX(Input!I2:I41),0)</f>
        <v>0</v>
      </c>
      <c r="G4" s="22" cm="1">
        <f t="array" ref="G4:G43">IFERROR(Input!J2:J41/MAX(Input!J2:J41),0)</f>
        <v>0</v>
      </c>
      <c r="H4" s="22" cm="1">
        <f t="array" ref="H4:H43">IFERROR(Input!K2:K41/MAX(Input!K2:K41),0)</f>
        <v>0</v>
      </c>
      <c r="I4" s="22" cm="1">
        <f t="array" ref="I4:I43">IFERROR(Input!L2:L41/MAX(Input!L2:L41),0)</f>
        <v>0</v>
      </c>
      <c r="J4" s="22" cm="1">
        <f t="array" ref="J4:J43">IFERROR(Input!M2:M41/MAX(Input!M2:M41),0)</f>
        <v>0</v>
      </c>
      <c r="K4" s="22" cm="1">
        <f t="array" ref="K4:K43">IFERROR(Input!N2:N41/MAX(Input!N2:N41),0)</f>
        <v>0</v>
      </c>
      <c r="L4" s="22" cm="1">
        <f t="array" ref="L4:L43">IFERROR(Input!O2:O41/MAX(Input!O2:O41),0)</f>
        <v>0</v>
      </c>
      <c r="M4" s="22" cm="1">
        <f t="array" ref="M4:M43">IFERROR(Input!P2:P41/MAX(Input!P2:P41),0)</f>
        <v>0</v>
      </c>
      <c r="N4" s="22" cm="1">
        <f t="array" ref="N4:N43">IFERROR(Input!Q2:Q41/MAX(Input!Q2:Q41),0)</f>
        <v>0</v>
      </c>
      <c r="O4" s="22" cm="1">
        <f t="array" ref="O4:O43">IFERROR(Input!R2:R41/MAX(Input!R2:R41),0)</f>
        <v>0</v>
      </c>
      <c r="P4" s="22" cm="1">
        <f t="array" ref="P4:P43">IFERROR(Input!S2:S41/MAX(Input!S2:S41),0)</f>
        <v>0</v>
      </c>
      <c r="Q4" s="22" cm="1">
        <f t="array" ref="Q4:Q43">IFERROR(Input!T2:T41/MAX(Input!T2:T41),0)</f>
        <v>0</v>
      </c>
      <c r="R4" s="22" cm="1">
        <f t="array" ref="R4:R43">IFERROR(Input!U2:U41/MAX(Input!U2:U41),0)</f>
        <v>0</v>
      </c>
      <c r="S4" s="22" cm="1">
        <f t="array" ref="S4:S43">IFERROR(Input!V2:V41/MAX(Input!V2:V41),0)</f>
        <v>0</v>
      </c>
      <c r="T4" s="22" cm="1">
        <f t="array" ref="T4:T43">IFERROR(Input!W2:W41/MAX(Input!W2:W41),0)</f>
        <v>0</v>
      </c>
      <c r="U4" s="22" cm="1">
        <f t="array" ref="U4:U43">IFERROR(Input!X2:X41/MAX(Input!X2:X41),0)</f>
        <v>0</v>
      </c>
      <c r="V4" s="22" cm="1">
        <f t="array" ref="V4:V43">IFERROR(Input!Y2:Y41/MAX(Input!Y2:Y41),0)</f>
        <v>0</v>
      </c>
    </row>
    <row r="5" spans="1:22" x14ac:dyDescent="0.3">
      <c r="A5" s="22">
        <v>0.97543330781015758</v>
      </c>
      <c r="B5" s="22">
        <v>0.889742218476403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x14ac:dyDescent="0.3">
      <c r="A6" s="22">
        <v>1</v>
      </c>
      <c r="B6" s="22">
        <v>0.89496723090408226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x14ac:dyDescent="0.3">
      <c r="A7" s="22">
        <v>0.97279595492088378</v>
      </c>
      <c r="B7" s="22">
        <v>0.54149033881608566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3">
      <c r="A8" s="22">
        <v>0.97349600742007503</v>
      </c>
      <c r="B8" s="22">
        <v>0.30454900887694719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x14ac:dyDescent="0.3">
      <c r="A9" s="22">
        <v>0.9336902954497206</v>
      </c>
      <c r="B9" s="22">
        <v>0.87083623636059604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x14ac:dyDescent="0.3">
      <c r="A10" s="22">
        <v>0.93306401242758841</v>
      </c>
      <c r="B10" s="22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x14ac:dyDescent="0.3">
      <c r="A11" s="22">
        <v>0</v>
      </c>
      <c r="B11" s="22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3">
      <c r="A12" s="22">
        <v>0</v>
      </c>
      <c r="B12" s="2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3">
      <c r="A13" s="22">
        <v>0</v>
      </c>
      <c r="B13" s="22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3">
      <c r="A14" s="22">
        <v>0</v>
      </c>
      <c r="B14" s="22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3">
      <c r="A15" s="22">
        <v>0</v>
      </c>
      <c r="B15" s="22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3">
      <c r="A16" s="22">
        <v>0</v>
      </c>
      <c r="B16" s="22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3">
      <c r="A17" s="22">
        <v>0</v>
      </c>
      <c r="B17" s="22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3">
      <c r="A18" s="22">
        <v>0</v>
      </c>
      <c r="B18" s="22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3">
      <c r="A19" s="22">
        <v>0</v>
      </c>
      <c r="B19" s="22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3">
      <c r="A20" s="22">
        <v>0</v>
      </c>
      <c r="B20" s="22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x14ac:dyDescent="0.3">
      <c r="A21" s="22">
        <v>0</v>
      </c>
      <c r="B21" s="22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3">
      <c r="A22" s="22">
        <v>0</v>
      </c>
      <c r="B22" s="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x14ac:dyDescent="0.3">
      <c r="A23" s="22">
        <v>0</v>
      </c>
      <c r="B23" s="22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 x14ac:dyDescent="0.3">
      <c r="A24" s="22">
        <v>0</v>
      </c>
      <c r="B24" s="22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2" x14ac:dyDescent="0.3">
      <c r="A25" s="22">
        <v>0</v>
      </c>
      <c r="B25" s="22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 x14ac:dyDescent="0.3">
      <c r="A26" s="22">
        <v>0</v>
      </c>
      <c r="B26" s="22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 x14ac:dyDescent="0.3">
      <c r="A27" s="22">
        <v>0</v>
      </c>
      <c r="B27" s="22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x14ac:dyDescent="0.3">
      <c r="A28" s="22">
        <v>0</v>
      </c>
      <c r="B28" s="22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 x14ac:dyDescent="0.3">
      <c r="A29" s="22">
        <v>0</v>
      </c>
      <c r="B29" s="22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x14ac:dyDescent="0.3">
      <c r="A30" s="22">
        <v>0</v>
      </c>
      <c r="B30" s="22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 x14ac:dyDescent="0.3">
      <c r="A31" s="22">
        <v>0</v>
      </c>
      <c r="B31" s="22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3">
      <c r="A32" s="22">
        <v>0</v>
      </c>
      <c r="B32" s="2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1:22" x14ac:dyDescent="0.3">
      <c r="A33" s="22">
        <v>0</v>
      </c>
      <c r="B33" s="22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x14ac:dyDescent="0.3">
      <c r="A34" s="22">
        <v>0</v>
      </c>
      <c r="B34" s="22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</row>
    <row r="35" spans="1:22" x14ac:dyDescent="0.3">
      <c r="A35" s="22">
        <v>0</v>
      </c>
      <c r="B35" s="22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1:22" x14ac:dyDescent="0.3">
      <c r="A36" s="22">
        <v>0</v>
      </c>
      <c r="B36" s="22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 x14ac:dyDescent="0.3">
      <c r="A37" s="22">
        <v>0</v>
      </c>
      <c r="B37" s="22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 x14ac:dyDescent="0.3">
      <c r="A38" s="22">
        <v>0</v>
      </c>
      <c r="B38" s="22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</row>
    <row r="39" spans="1:22" x14ac:dyDescent="0.3">
      <c r="A39" s="22">
        <v>0</v>
      </c>
      <c r="B39" s="22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3">
      <c r="A40" s="22">
        <v>0</v>
      </c>
      <c r="B40" s="22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</row>
    <row r="41" spans="1:22" x14ac:dyDescent="0.3">
      <c r="A41" s="22">
        <v>0</v>
      </c>
      <c r="B41" s="22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x14ac:dyDescent="0.3">
      <c r="A42" s="22">
        <v>0</v>
      </c>
      <c r="B42" s="2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 x14ac:dyDescent="0.3">
      <c r="A43" s="22">
        <v>0</v>
      </c>
      <c r="B43" s="22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 x14ac:dyDescent="0.3">
      <c r="A44" s="22"/>
      <c r="B44" s="22"/>
    </row>
    <row r="45" spans="1:22" x14ac:dyDescent="0.3">
      <c r="A45" s="22"/>
      <c r="B45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3049-0D22-4AEF-BA4C-A43B6A86A7DF}">
  <sheetPr codeName="Sheet11"/>
  <dimension ref="A1:K43"/>
  <sheetViews>
    <sheetView zoomScale="85" zoomScaleNormal="85" workbookViewId="0">
      <selection activeCell="M28" sqref="M28"/>
    </sheetView>
  </sheetViews>
  <sheetFormatPr defaultColWidth="8.8984375" defaultRowHeight="15.6" x14ac:dyDescent="0.3"/>
  <cols>
    <col min="3" max="3" width="16.3984375" customWidth="1"/>
    <col min="4" max="5" width="16.3984375" style="22" customWidth="1"/>
    <col min="6" max="7" width="16.3984375" customWidth="1"/>
    <col min="8" max="8" width="24.59765625" bestFit="1" customWidth="1"/>
    <col min="9" max="10" width="24.5" bestFit="1" customWidth="1"/>
    <col min="11" max="11" width="12.59765625" bestFit="1" customWidth="1"/>
  </cols>
  <sheetData>
    <row r="1" spans="1:11" x14ac:dyDescent="0.3">
      <c r="A1" t="s">
        <v>37</v>
      </c>
      <c r="B1" t="s">
        <v>38</v>
      </c>
      <c r="C1" t="s">
        <v>38</v>
      </c>
      <c r="D1" s="22" t="s">
        <v>38</v>
      </c>
      <c r="E1" s="22" t="s">
        <v>38</v>
      </c>
      <c r="F1" t="s">
        <v>38</v>
      </c>
      <c r="G1" t="s">
        <v>38</v>
      </c>
      <c r="H1">
        <v>0.99999999999999978</v>
      </c>
      <c r="I1">
        <v>0</v>
      </c>
      <c r="J1">
        <v>0.86342794893221853</v>
      </c>
      <c r="K1">
        <v>0.19436645352718129</v>
      </c>
    </row>
    <row r="2" spans="1:11" x14ac:dyDescent="0.3">
      <c r="A2" s="24">
        <v>7</v>
      </c>
      <c r="B2" t="s">
        <v>38</v>
      </c>
      <c r="C2" t="s">
        <v>38</v>
      </c>
      <c r="D2" s="22" t="s">
        <v>38</v>
      </c>
      <c r="E2" s="22" t="s">
        <v>38</v>
      </c>
      <c r="F2" t="s">
        <v>38</v>
      </c>
      <c r="G2" t="s">
        <v>38</v>
      </c>
      <c r="H2" t="s">
        <v>34</v>
      </c>
      <c r="I2" t="s">
        <v>34</v>
      </c>
      <c r="J2" t="s">
        <v>33</v>
      </c>
      <c r="K2" t="s">
        <v>33</v>
      </c>
    </row>
    <row r="3" spans="1:11" x14ac:dyDescent="0.3">
      <c r="A3" t="s">
        <v>34</v>
      </c>
      <c r="B3" t="s">
        <v>39</v>
      </c>
      <c r="C3" t="str" cm="1">
        <f t="array" ref="C3:C10">_xlfn._xlws.FILTER(_xlfn._xlws.FILTER(Output!C:C,Output!C:C&lt;&gt;0),_xlfn._xlws.FILTER(Output!C:C,Output!C:C&lt;&gt;0)&lt;&gt;"")</f>
        <v>Hospitals Chosen</v>
      </c>
      <c r="D3" s="22" t="s">
        <v>40</v>
      </c>
      <c r="E3" s="22" t="s">
        <v>34</v>
      </c>
      <c r="F3" t="s">
        <v>33</v>
      </c>
      <c r="G3" t="s">
        <v>41</v>
      </c>
      <c r="H3" t="s">
        <v>42</v>
      </c>
      <c r="I3" t="s">
        <v>43</v>
      </c>
      <c r="J3" t="s">
        <v>44</v>
      </c>
      <c r="K3" t="s">
        <v>56</v>
      </c>
    </row>
    <row r="4" spans="1:11" x14ac:dyDescent="0.3">
      <c r="A4">
        <f ca="1">_xlfn.XLOOKUP(A2,B:B,E:E,0,0)</f>
        <v>0.99999999999999978</v>
      </c>
      <c r="B4">
        <f>IF(ISBLANK(C4),0,0+1)</f>
        <v>1</v>
      </c>
      <c r="C4" t="str">
        <v>AB</v>
      </c>
      <c r="D4" s="22">
        <v>0.99999999999999989</v>
      </c>
      <c r="E4" s="22" cm="1">
        <f t="array" aca="1" ref="E4" ca="1">SUMPRODUCT(INDIRECT(CELL("address",INDEX(4:4,MATCH("output",$2:$2,0))) &amp;":"&amp;CELL("address",INDEX(4:4,MAX(IF($2:$2="output",COLUMN($2:$2),0))))),INDIRECT(CELL("address",INDEX($1:$1,MATCH("output",$2:$2,0))) &amp;":"&amp;CELL("address",INDEX($1:$1,MAX(IF($2:$2="output",COLUMN($2:$2),0))))))</f>
        <v>0.85202668086890621</v>
      </c>
      <c r="F4" s="22" cm="1">
        <f t="array" aca="1" ref="F4" ca="1">SUMPRODUCT(INDIRECT(CELL("address",INDEX(4:4,MATCH("input",$2:$2,0))) &amp;":"&amp;CELL("address",INDEX(4:4,MAX(IF($2:$2="input",COLUMN($2:$2),0))))),INDIRECT(CELL("address",INDEX($1:$1,MATCH("input",$2:$2,0))) &amp;":"&amp;CELL("address",INDEX($1:$1,MAX(IF($2:$2="input",COLUMN($2:$2),0))))))</f>
        <v>0.89101136718952823</v>
      </c>
      <c r="G4" s="22">
        <f ca="1">E4-F4</f>
        <v>-3.898468632062202E-2</v>
      </c>
      <c r="H4">
        <v>0.85202668086890643</v>
      </c>
      <c r="I4">
        <v>0.9664314272305633</v>
      </c>
      <c r="J4">
        <v>0.94598305870281763</v>
      </c>
      <c r="K4">
        <v>0.38187225080354792</v>
      </c>
    </row>
    <row r="5" spans="1:11" x14ac:dyDescent="0.3">
      <c r="A5" t="s">
        <v>33</v>
      </c>
      <c r="B5">
        <f>IF(ISBLANK(C5),0,B4+1)</f>
        <v>2</v>
      </c>
      <c r="C5" t="str">
        <v>AJ</v>
      </c>
      <c r="D5" s="22">
        <v>0.81766481474306474</v>
      </c>
      <c r="E5" s="22" cm="1">
        <f t="array" aca="1" ref="E5" ca="1">SUMPRODUCT(INDIRECT(CELL("address",INDEX(5:5,MATCH("output",$2:$2,0))) &amp;":"&amp;CELL("address",INDEX(5:5,MAX(IF($2:$2="output",COLUMN($2:$2),0))))),INDIRECT(CELL("address",INDEX($1:$1,MATCH("output",$2:$2,0))) &amp;":"&amp;CELL("address",INDEX($1:$1,MAX(IF($2:$2="output",COLUMN($2:$2),0))))))</f>
        <v>0.83005441530555824</v>
      </c>
      <c r="F5" s="22" cm="1">
        <f t="array" aca="1" ref="F5" ca="1">SUMPRODUCT(INDIRECT(CELL("address",INDEX(5:5,MATCH("input",$2:$2,0))) &amp;":"&amp;CELL("address",INDEX(5:5,MAX(IF($2:$2="input",COLUMN($2:$2),0))))),INDIRECT(CELL("address",INDEX($1:$1,MATCH("input",$2:$2,0))) &amp;":"&amp;CELL("address",INDEX($1:$1,MAX(IF($2:$2="input",COLUMN($2:$2),0))))))</f>
        <v>1.0151524198413586</v>
      </c>
      <c r="G5" s="22">
        <f t="shared" ref="G5:G43" ca="1" si="0">E5-F5</f>
        <v>-0.18509800453580039</v>
      </c>
      <c r="H5">
        <v>0.83005441530555846</v>
      </c>
      <c r="I5">
        <v>0.37418827207835009</v>
      </c>
      <c r="J5">
        <v>0.97543330781015758</v>
      </c>
      <c r="K5">
        <v>0.889742218476403</v>
      </c>
    </row>
    <row r="6" spans="1:11" x14ac:dyDescent="0.3">
      <c r="A6">
        <f ca="1">_xlfn.XLOOKUP(A2,B:B,F:F,0,0)</f>
        <v>1</v>
      </c>
      <c r="B6">
        <f>IF(ISBLANK(C6),0,B5+1)</f>
        <v>3</v>
      </c>
      <c r="C6" t="str">
        <v>E</v>
      </c>
      <c r="D6" s="22">
        <v>0.79897009207919167</v>
      </c>
      <c r="E6" s="22" cm="1">
        <f t="array" aca="1" ref="E6" ca="1">SUMPRODUCT(INDIRECT(CELL("address",INDEX(6:6,MATCH("output",$2:$2,0))) &amp;":"&amp;CELL("address",INDEX(6:6,MAX(IF($2:$2="output",COLUMN($2:$2),0))))),INDIRECT(CELL("address",INDEX($1:$1,MATCH("output",$2:$2,0))) &amp;":"&amp;CELL("address",INDEX($1:$1,MAX(IF($2:$2="output",COLUMN($2:$2),0))))))</f>
        <v>0.8288352390796454</v>
      </c>
      <c r="F6" s="22" cm="1">
        <f t="array" aca="1" ref="F6" ca="1">SUMPRODUCT(INDIRECT(CELL("address",INDEX(6:6,MATCH("input",$2:$2,0))) &amp;":"&amp;CELL("address",INDEX(6:6,MAX(IF($2:$2="input",COLUMN($2:$2),0))))),INDIRECT(CELL("address",INDEX($1:$1,MATCH("input",$2:$2,0))) &amp;":"&amp;CELL("address",INDEX($1:$1,MAX(IF($2:$2="input",COLUMN($2:$2),0))))))</f>
        <v>1.037379555626087</v>
      </c>
      <c r="G6" s="22">
        <f t="shared" ca="1" si="0"/>
        <v>-0.20854431654644157</v>
      </c>
      <c r="H6">
        <v>0.82883523907964562</v>
      </c>
      <c r="I6">
        <v>0.76412066074533669</v>
      </c>
      <c r="J6">
        <v>1</v>
      </c>
      <c r="K6">
        <v>0.89496723090408226</v>
      </c>
    </row>
    <row r="7" spans="1:11" x14ac:dyDescent="0.3">
      <c r="B7">
        <f t="shared" ref="B7:B43" si="1">IF(ISBLANK(C7),0,B6+1)</f>
        <v>4</v>
      </c>
      <c r="C7" t="str">
        <v>L</v>
      </c>
      <c r="D7" s="22">
        <v>0.83271075571087128</v>
      </c>
      <c r="E7" s="22" cm="1">
        <f t="array" aca="1" ref="E7" ca="1">SUMPRODUCT(INDIRECT(CELL("address",INDEX(7:7,MATCH("output",$2:$2,0))) &amp;":"&amp;CELL("address",INDEX(7:7,MAX(IF($2:$2="output",COLUMN($2:$2),0))))),INDIRECT(CELL("address",INDEX($1:$1,MATCH("output",$2:$2,0))) &amp;":"&amp;CELL("address",INDEX($1:$1,MAX(IF($2:$2="output",COLUMN($2:$2),0))))))</f>
        <v>0.78706719191767882</v>
      </c>
      <c r="F7" s="22" cm="1">
        <f t="array" aca="1" ref="F7" ca="1">SUMPRODUCT(INDIRECT(CELL("address",INDEX(7:7,MATCH("input",$2:$2,0))) &amp;":"&amp;CELL("address",INDEX(7:7,MAX(IF($2:$2="input",COLUMN($2:$2),0))))),INDIRECT(CELL("address",INDEX($1:$1,MATCH("input",$2:$2,0))) &amp;":"&amp;CELL("address",INDEX($1:$1,MAX(IF($2:$2="input",COLUMN($2:$2),0))))))</f>
        <v>0.94518677286181196</v>
      </c>
      <c r="G7" s="22">
        <f t="shared" ca="1" si="0"/>
        <v>-0.15811958094413314</v>
      </c>
      <c r="H7">
        <v>0.78706719191767904</v>
      </c>
      <c r="I7">
        <v>0.59141961593853176</v>
      </c>
      <c r="J7">
        <v>0.97279595492088378</v>
      </c>
      <c r="K7">
        <v>0.54149033881608566</v>
      </c>
    </row>
    <row r="8" spans="1:11" x14ac:dyDescent="0.3">
      <c r="B8">
        <f t="shared" si="1"/>
        <v>5</v>
      </c>
      <c r="C8" t="str">
        <v>M</v>
      </c>
      <c r="D8" s="22">
        <v>1</v>
      </c>
      <c r="E8" s="22" cm="1">
        <f t="array" aca="1" ref="E8" ca="1">SUMPRODUCT(INDIRECT(CELL("address",INDEX(8:8,MATCH("output",$2:$2,0))) &amp;":"&amp;CELL("address",INDEX(8:8,MAX(IF($2:$2="output",COLUMN($2:$2),0))))),INDIRECT(CELL("address",INDEX($1:$1,MATCH("output",$2:$2,0))) &amp;":"&amp;CELL("address",INDEX($1:$1,MAX(IF($2:$2="output",COLUMN($2:$2),0))))))</f>
        <v>0.8997377717610493</v>
      </c>
      <c r="F8" s="22" cm="1">
        <f t="array" aca="1" ref="F8" ca="1">SUMPRODUCT(INDIRECT(CELL("address",INDEX(8:8,MATCH("input",$2:$2,0))) &amp;":"&amp;CELL("address",INDEX(8:8,MAX(IF($2:$2="input",COLUMN($2:$2),0))))),INDIRECT(CELL("address",INDEX($1:$1,MATCH("input",$2:$2,0))) &amp;":"&amp;CELL("address",INDEX($1:$1,MAX(IF($2:$2="input",COLUMN($2:$2),0))))))</f>
        <v>0.89973777176104952</v>
      </c>
      <c r="G8" s="22">
        <f t="shared" ca="1" si="0"/>
        <v>0</v>
      </c>
      <c r="H8">
        <v>0.89973777176104952</v>
      </c>
      <c r="I8">
        <v>0.74271776126549904</v>
      </c>
      <c r="J8">
        <v>0.97349600742007503</v>
      </c>
      <c r="K8">
        <v>0.30454900887694719</v>
      </c>
    </row>
    <row r="9" spans="1:11" x14ac:dyDescent="0.3">
      <c r="B9">
        <f t="shared" si="1"/>
        <v>6</v>
      </c>
      <c r="C9" t="str">
        <v>Q</v>
      </c>
      <c r="D9" s="22">
        <v>0.93432246573169397</v>
      </c>
      <c r="E9" s="22" cm="1">
        <f t="array" aca="1" ref="E9" ca="1">SUMPRODUCT(INDIRECT(CELL("address",INDEX(9:9,MATCH("output",$2:$2,0))) &amp;":"&amp;CELL("address",INDEX(9:9,MAX(IF($2:$2="output",COLUMN($2:$2),0))))),INDIRECT(CELL("address",INDEX($1:$1,MATCH("output",$2:$2,0))) &amp;":"&amp;CELL("address",INDEX($1:$1,MAX(IF($2:$2="output",COLUMN($2:$2),0))))))</f>
        <v>0.82142417213753993</v>
      </c>
      <c r="F9" s="22" cm="1">
        <f t="array" aca="1" ref="F9" ca="1">SUMPRODUCT(INDIRECT(CELL("address",INDEX(9:9,MATCH("input",$2:$2,0))) &amp;":"&amp;CELL("address",INDEX(9:9,MAX(IF($2:$2="input",COLUMN($2:$2),0))))),INDIRECT(CELL("address",INDEX($1:$1,MATCH("input",$2:$2,0))) &amp;":"&amp;CELL("address",INDEX($1:$1,MAX(IF($2:$2="input",COLUMN($2:$2),0))))))</f>
        <v>0.97543564760243662</v>
      </c>
      <c r="G9" s="22">
        <f t="shared" ca="1" si="0"/>
        <v>-0.15401147546489669</v>
      </c>
      <c r="H9">
        <v>0.82142417213754015</v>
      </c>
      <c r="I9">
        <v>0.9258483683110561</v>
      </c>
      <c r="J9">
        <v>0.9336902954497206</v>
      </c>
      <c r="K9">
        <v>0.87083623636059604</v>
      </c>
    </row>
    <row r="10" spans="1:11" x14ac:dyDescent="0.3">
      <c r="B10">
        <f>IF(ISBLANK(C10),0,B9+1)</f>
        <v>7</v>
      </c>
      <c r="C10" t="str">
        <v>Z</v>
      </c>
      <c r="D10" s="22">
        <v>0.99999999999999978</v>
      </c>
      <c r="E10" s="22" cm="1">
        <f t="array" aca="1" ref="E10" ca="1">SUMPRODUCT(INDIRECT(CELL("address",INDEX(10:10,MATCH("output",$2:$2,0))) &amp;":"&amp;CELL("address",INDEX(10:10,MAX(IF($2:$2="output",COLUMN($2:$2),0))))),INDIRECT(CELL("address",INDEX($1:$1,MATCH("output",$2:$2,0))) &amp;":"&amp;CELL("address",INDEX($1:$1,MAX(IF($2:$2="output",COLUMN($2:$2),0))))))</f>
        <v>0.99999999999999978</v>
      </c>
      <c r="F10" s="22" cm="1">
        <f t="array" aca="1" ref="F10" ca="1">SUMPRODUCT(INDIRECT(CELL("address",INDEX(10:10,MATCH("input",$2:$2,0))) &amp;":"&amp;CELL("address",INDEX(10:10,MAX(IF($2:$2="input",COLUMN($2:$2),0))))),INDIRECT(CELL("address",INDEX($1:$1,MATCH("input",$2:$2,0))) &amp;":"&amp;CELL("address",INDEX($1:$1,MAX(IF($2:$2="input",COLUMN($2:$2),0))))))</f>
        <v>1</v>
      </c>
      <c r="G10" s="22">
        <f t="shared" ca="1" si="0"/>
        <v>0</v>
      </c>
      <c r="H10">
        <v>1</v>
      </c>
      <c r="I10">
        <v>1</v>
      </c>
      <c r="J10">
        <v>0.93306401242758841</v>
      </c>
      <c r="K10">
        <v>1</v>
      </c>
    </row>
    <row r="11" spans="1:11" x14ac:dyDescent="0.3">
      <c r="B11">
        <f t="shared" si="1"/>
        <v>0</v>
      </c>
      <c r="E11" s="22" cm="1">
        <f t="array" aca="1" ref="E11" ca="1">SUMPRODUCT(INDIRECT(CELL("address",INDEX(11:11,MATCH("output",$2:$2,0))) &amp;":"&amp;CELL("address",INDEX(11:11,MAX(IF($2:$2="output",COLUMN($2:$2),0))))),INDIRECT(CELL("address",INDEX($1:$1,MATCH("output",$2:$2,0))) &amp;":"&amp;CELL("address",INDEX($1:$1,MAX(IF($2:$2="output",COLUMN($2:$2),0))))))</f>
        <v>0</v>
      </c>
      <c r="F11" s="22" cm="1">
        <f t="array" aca="1" ref="F11" ca="1">SUMPRODUCT(INDIRECT(CELL("address",INDEX(11:11,MATCH("input",$2:$2,0))) &amp;":"&amp;CELL("address",INDEX(11:11,MAX(IF($2:$2="input",COLUMN($2:$2),0))))),INDIRECT(CELL("address",INDEX($1:$1,MATCH("input",$2:$2,0))) &amp;":"&amp;CELL("address",INDEX($1:$1,MAX(IF($2:$2="input",COLUMN($2:$2),0))))))</f>
        <v>0</v>
      </c>
      <c r="G11" s="22">
        <f t="shared" ca="1" si="0"/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B12">
        <f t="shared" si="1"/>
        <v>0</v>
      </c>
      <c r="E12" s="22" cm="1">
        <f t="array" aca="1" ref="E12" ca="1">SUMPRODUCT(INDIRECT(CELL("address",INDEX(12:12,MATCH("output",$2:$2,0))) &amp;":"&amp;CELL("address",INDEX(12:12,MAX(IF($2:$2="output",COLUMN($2:$2),0))))),INDIRECT(CELL("address",INDEX($1:$1,MATCH("output",$2:$2,0))) &amp;":"&amp;CELL("address",INDEX($1:$1,MAX(IF($2:$2="output",COLUMN($2:$2),0))))))</f>
        <v>0</v>
      </c>
      <c r="F12" s="22" cm="1">
        <f t="array" aca="1" ref="F12" ca="1">SUMPRODUCT(INDIRECT(CELL("address",INDEX(12:12,MATCH("input",$2:$2,0))) &amp;":"&amp;CELL("address",INDEX(12:12,MAX(IF($2:$2="input",COLUMN($2:$2),0))))),INDIRECT(CELL("address",INDEX($1:$1,MATCH("input",$2:$2,0))) &amp;":"&amp;CELL("address",INDEX($1:$1,MAX(IF($2:$2="input",COLUMN($2:$2),0))))))</f>
        <v>0</v>
      </c>
      <c r="G12" s="22">
        <f t="shared" ca="1" si="0"/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B13">
        <f t="shared" si="1"/>
        <v>0</v>
      </c>
      <c r="E13" s="22" cm="1">
        <f t="array" aca="1" ref="E13" ca="1">SUMPRODUCT(INDIRECT(CELL("address",INDEX(13:13,MATCH("output",$2:$2,0))) &amp;":"&amp;CELL("address",INDEX(13:13,MAX(IF($2:$2="output",COLUMN($2:$2),0))))),INDIRECT(CELL("address",INDEX($1:$1,MATCH("output",$2:$2,0))) &amp;":"&amp;CELL("address",INDEX($1:$1,MAX(IF($2:$2="output",COLUMN($2:$2),0))))))</f>
        <v>0</v>
      </c>
      <c r="F13" s="22" cm="1">
        <f t="array" aca="1" ref="F13" ca="1">SUMPRODUCT(INDIRECT(CELL("address",INDEX(13:13,MATCH("input",$2:$2,0))) &amp;":"&amp;CELL("address",INDEX(13:13,MAX(IF($2:$2="input",COLUMN($2:$2),0))))),INDIRECT(CELL("address",INDEX($1:$1,MATCH("input",$2:$2,0))) &amp;":"&amp;CELL("address",INDEX($1:$1,MAX(IF($2:$2="input",COLUMN($2:$2),0))))))</f>
        <v>0</v>
      </c>
      <c r="G13" s="22">
        <f t="shared" ca="1" si="0"/>
        <v>0</v>
      </c>
      <c r="H13">
        <v>0</v>
      </c>
      <c r="I13">
        <v>0</v>
      </c>
      <c r="J13">
        <v>0</v>
      </c>
      <c r="K13">
        <v>0</v>
      </c>
    </row>
    <row r="14" spans="1:11" x14ac:dyDescent="0.3">
      <c r="B14">
        <f t="shared" si="1"/>
        <v>0</v>
      </c>
      <c r="E14" s="22" cm="1">
        <f t="array" aca="1" ref="E14" ca="1">SUMPRODUCT(INDIRECT(CELL("address",INDEX(14:14,MATCH("output",$2:$2,0))) &amp;":"&amp;CELL("address",INDEX(14:14,MAX(IF($2:$2="output",COLUMN($2:$2),0))))),INDIRECT(CELL("address",INDEX($1:$1,MATCH("output",$2:$2,0))) &amp;":"&amp;CELL("address",INDEX($1:$1,MAX(IF($2:$2="output",COLUMN($2:$2),0))))))</f>
        <v>0</v>
      </c>
      <c r="F14" s="22" cm="1">
        <f t="array" aca="1" ref="F14" ca="1">SUMPRODUCT(INDIRECT(CELL("address",INDEX(14:14,MATCH("input",$2:$2,0))) &amp;":"&amp;CELL("address",INDEX(14:14,MAX(IF($2:$2="input",COLUMN($2:$2),0))))),INDIRECT(CELL("address",INDEX($1:$1,MATCH("input",$2:$2,0))) &amp;":"&amp;CELL("address",INDEX($1:$1,MAX(IF($2:$2="input",COLUMN($2:$2),0))))))</f>
        <v>0</v>
      </c>
      <c r="G14" s="22">
        <f t="shared" ca="1" si="0"/>
        <v>0</v>
      </c>
      <c r="H14">
        <v>0</v>
      </c>
      <c r="I14">
        <v>0</v>
      </c>
      <c r="J14">
        <v>0</v>
      </c>
      <c r="K14">
        <v>0</v>
      </c>
    </row>
    <row r="15" spans="1:11" x14ac:dyDescent="0.3">
      <c r="B15">
        <f t="shared" si="1"/>
        <v>0</v>
      </c>
      <c r="E15" s="22" cm="1">
        <f t="array" aca="1" ref="E15" ca="1">SUMPRODUCT(INDIRECT(CELL("address",INDEX(15:15,MATCH("output",$2:$2,0))) &amp;":"&amp;CELL("address",INDEX(15:15,MAX(IF($2:$2="output",COLUMN($2:$2),0))))),INDIRECT(CELL("address",INDEX($1:$1,MATCH("output",$2:$2,0))) &amp;":"&amp;CELL("address",INDEX($1:$1,MAX(IF($2:$2="output",COLUMN($2:$2),0))))))</f>
        <v>0</v>
      </c>
      <c r="F15" s="22" cm="1">
        <f t="array" aca="1" ref="F15" ca="1">SUMPRODUCT(INDIRECT(CELL("address",INDEX(15:15,MATCH("input",$2:$2,0))) &amp;":"&amp;CELL("address",INDEX(15:15,MAX(IF($2:$2="input",COLUMN($2:$2),0))))),INDIRECT(CELL("address",INDEX($1:$1,MATCH("input",$2:$2,0))) &amp;":"&amp;CELL("address",INDEX($1:$1,MAX(IF($2:$2="input",COLUMN($2:$2),0))))))</f>
        <v>0</v>
      </c>
      <c r="G15" s="22">
        <f t="shared" ca="1" si="0"/>
        <v>0</v>
      </c>
      <c r="H15">
        <v>0</v>
      </c>
      <c r="I15">
        <v>0</v>
      </c>
      <c r="J15">
        <v>0</v>
      </c>
      <c r="K15">
        <v>0</v>
      </c>
    </row>
    <row r="16" spans="1:11" x14ac:dyDescent="0.3">
      <c r="B16">
        <f t="shared" si="1"/>
        <v>0</v>
      </c>
      <c r="E16" s="22" cm="1">
        <f t="array" aca="1" ref="E16" ca="1">SUMPRODUCT(INDIRECT(CELL("address",INDEX(16:16,MATCH("output",$2:$2,0))) &amp;":"&amp;CELL("address",INDEX(16:16,MAX(IF($2:$2="output",COLUMN($2:$2),0))))),INDIRECT(CELL("address",INDEX($1:$1,MATCH("output",$2:$2,0))) &amp;":"&amp;CELL("address",INDEX($1:$1,MAX(IF($2:$2="output",COLUMN($2:$2),0))))))</f>
        <v>0</v>
      </c>
      <c r="F16" s="22" cm="1">
        <f t="array" aca="1" ref="F16" ca="1">SUMPRODUCT(INDIRECT(CELL("address",INDEX(16:16,MATCH("input",$2:$2,0))) &amp;":"&amp;CELL("address",INDEX(16:16,MAX(IF($2:$2="input",COLUMN($2:$2),0))))),INDIRECT(CELL("address",INDEX($1:$1,MATCH("input",$2:$2,0))) &amp;":"&amp;CELL("address",INDEX($1:$1,MAX(IF($2:$2="input",COLUMN($2:$2),0))))))</f>
        <v>0</v>
      </c>
      <c r="G16" s="22">
        <f t="shared" ca="1" si="0"/>
        <v>0</v>
      </c>
      <c r="H16">
        <v>0</v>
      </c>
      <c r="I16">
        <v>0</v>
      </c>
      <c r="J16">
        <v>0</v>
      </c>
      <c r="K16">
        <v>0</v>
      </c>
    </row>
    <row r="17" spans="2:11" x14ac:dyDescent="0.3">
      <c r="B17">
        <f t="shared" si="1"/>
        <v>0</v>
      </c>
      <c r="E17" s="22" cm="1">
        <f t="array" aca="1" ref="E17" ca="1">SUMPRODUCT(INDIRECT(CELL("address",INDEX(17:17,MATCH("output",$2:$2,0))) &amp;":"&amp;CELL("address",INDEX(17:17,MAX(IF($2:$2="output",COLUMN($2:$2),0))))),INDIRECT(CELL("address",INDEX($1:$1,MATCH("output",$2:$2,0))) &amp;":"&amp;CELL("address",INDEX($1:$1,MAX(IF($2:$2="output",COLUMN($2:$2),0))))))</f>
        <v>0</v>
      </c>
      <c r="F17" s="22" cm="1">
        <f t="array" aca="1" ref="F17" ca="1">SUMPRODUCT(INDIRECT(CELL("address",INDEX(17:17,MATCH("input",$2:$2,0))) &amp;":"&amp;CELL("address",INDEX(17:17,MAX(IF($2:$2="input",COLUMN($2:$2),0))))),INDIRECT(CELL("address",INDEX($1:$1,MATCH("input",$2:$2,0))) &amp;":"&amp;CELL("address",INDEX($1:$1,MAX(IF($2:$2="input",COLUMN($2:$2),0))))))</f>
        <v>0</v>
      </c>
      <c r="G17" s="22">
        <f t="shared" ca="1" si="0"/>
        <v>0</v>
      </c>
      <c r="H17">
        <v>0</v>
      </c>
      <c r="I17">
        <v>0</v>
      </c>
      <c r="J17">
        <v>0</v>
      </c>
      <c r="K17">
        <v>0</v>
      </c>
    </row>
    <row r="18" spans="2:11" x14ac:dyDescent="0.3">
      <c r="B18">
        <f t="shared" si="1"/>
        <v>0</v>
      </c>
      <c r="E18" s="22" cm="1">
        <f t="array" aca="1" ref="E18" ca="1">SUMPRODUCT(INDIRECT(CELL("address",INDEX(18:18,MATCH("output",$2:$2,0))) &amp;":"&amp;CELL("address",INDEX(18:18,MAX(IF($2:$2="output",COLUMN($2:$2),0))))),INDIRECT(CELL("address",INDEX($1:$1,MATCH("output",$2:$2,0))) &amp;":"&amp;CELL("address",INDEX($1:$1,MAX(IF($2:$2="output",COLUMN($2:$2),0))))))</f>
        <v>0</v>
      </c>
      <c r="F18" s="22" cm="1">
        <f t="array" aca="1" ref="F18" ca="1">SUMPRODUCT(INDIRECT(CELL("address",INDEX(18:18,MATCH("input",$2:$2,0))) &amp;":"&amp;CELL("address",INDEX(18:18,MAX(IF($2:$2="input",COLUMN($2:$2),0))))),INDIRECT(CELL("address",INDEX($1:$1,MATCH("input",$2:$2,0))) &amp;":"&amp;CELL("address",INDEX($1:$1,MAX(IF($2:$2="input",COLUMN($2:$2),0))))))</f>
        <v>0</v>
      </c>
      <c r="G18" s="22">
        <f t="shared" ca="1" si="0"/>
        <v>0</v>
      </c>
      <c r="H18">
        <v>0</v>
      </c>
      <c r="I18">
        <v>0</v>
      </c>
      <c r="J18">
        <v>0</v>
      </c>
      <c r="K18">
        <v>0</v>
      </c>
    </row>
    <row r="19" spans="2:11" x14ac:dyDescent="0.3">
      <c r="B19">
        <f t="shared" si="1"/>
        <v>0</v>
      </c>
      <c r="E19" s="22" cm="1">
        <f t="array" aca="1" ref="E19" ca="1">SUMPRODUCT(INDIRECT(CELL("address",INDEX(19:19,MATCH("output",$2:$2,0))) &amp;":"&amp;CELL("address",INDEX(19:19,MAX(IF($2:$2="output",COLUMN($2:$2),0))))),INDIRECT(CELL("address",INDEX($1:$1,MATCH("output",$2:$2,0))) &amp;":"&amp;CELL("address",INDEX($1:$1,MAX(IF($2:$2="output",COLUMN($2:$2),0))))))</f>
        <v>0</v>
      </c>
      <c r="F19" s="22" cm="1">
        <f t="array" aca="1" ref="F19" ca="1">SUMPRODUCT(INDIRECT(CELL("address",INDEX(19:19,MATCH("input",$2:$2,0))) &amp;":"&amp;CELL("address",INDEX(19:19,MAX(IF($2:$2="input",COLUMN($2:$2),0))))),INDIRECT(CELL("address",INDEX($1:$1,MATCH("input",$2:$2,0))) &amp;":"&amp;CELL("address",INDEX($1:$1,MAX(IF($2:$2="input",COLUMN($2:$2),0))))))</f>
        <v>0</v>
      </c>
      <c r="G19" s="22">
        <f t="shared" ca="1" si="0"/>
        <v>0</v>
      </c>
      <c r="H19">
        <v>0</v>
      </c>
      <c r="I19">
        <v>0</v>
      </c>
      <c r="J19">
        <v>0</v>
      </c>
      <c r="K19">
        <v>0</v>
      </c>
    </row>
    <row r="20" spans="2:11" x14ac:dyDescent="0.3">
      <c r="B20">
        <f t="shared" si="1"/>
        <v>0</v>
      </c>
      <c r="E20" s="22" cm="1">
        <f t="array" aca="1" ref="E20" ca="1">SUMPRODUCT(INDIRECT(CELL("address",INDEX(20:20,MATCH("output",$2:$2,0))) &amp;":"&amp;CELL("address",INDEX(20:20,MAX(IF($2:$2="output",COLUMN($2:$2),0))))),INDIRECT(CELL("address",INDEX($1:$1,MATCH("output",$2:$2,0))) &amp;":"&amp;CELL("address",INDEX($1:$1,MAX(IF($2:$2="output",COLUMN($2:$2),0))))))</f>
        <v>0</v>
      </c>
      <c r="F20" s="22" cm="1">
        <f t="array" aca="1" ref="F20" ca="1">SUMPRODUCT(INDIRECT(CELL("address",INDEX(20:20,MATCH("input",$2:$2,0))) &amp;":"&amp;CELL("address",INDEX(20:20,MAX(IF($2:$2="input",COLUMN($2:$2),0))))),INDIRECT(CELL("address",INDEX($1:$1,MATCH("input",$2:$2,0))) &amp;":"&amp;CELL("address",INDEX($1:$1,MAX(IF($2:$2="input",COLUMN($2:$2),0))))))</f>
        <v>0</v>
      </c>
      <c r="G20" s="22">
        <f t="shared" ca="1" si="0"/>
        <v>0</v>
      </c>
      <c r="H20">
        <v>0</v>
      </c>
      <c r="I20">
        <v>0</v>
      </c>
      <c r="J20">
        <v>0</v>
      </c>
      <c r="K20">
        <v>0</v>
      </c>
    </row>
    <row r="21" spans="2:11" x14ac:dyDescent="0.3">
      <c r="B21">
        <f t="shared" si="1"/>
        <v>0</v>
      </c>
      <c r="E21" s="22" cm="1">
        <f t="array" aca="1" ref="E21" ca="1">SUMPRODUCT(INDIRECT(CELL("address",INDEX(21:21,MATCH("output",$2:$2,0))) &amp;":"&amp;CELL("address",INDEX(21:21,MAX(IF($2:$2="output",COLUMN($2:$2),0))))),INDIRECT(CELL("address",INDEX($1:$1,MATCH("output",$2:$2,0))) &amp;":"&amp;CELL("address",INDEX($1:$1,MAX(IF($2:$2="output",COLUMN($2:$2),0))))))</f>
        <v>0</v>
      </c>
      <c r="F21" s="22" cm="1">
        <f t="array" aca="1" ref="F21" ca="1">SUMPRODUCT(INDIRECT(CELL("address",INDEX(21:21,MATCH("input",$2:$2,0))) &amp;":"&amp;CELL("address",INDEX(21:21,MAX(IF($2:$2="input",COLUMN($2:$2),0))))),INDIRECT(CELL("address",INDEX($1:$1,MATCH("input",$2:$2,0))) &amp;":"&amp;CELL("address",INDEX($1:$1,MAX(IF($2:$2="input",COLUMN($2:$2),0))))))</f>
        <v>0</v>
      </c>
      <c r="G21" s="22">
        <f t="shared" ca="1" si="0"/>
        <v>0</v>
      </c>
      <c r="H21">
        <v>0</v>
      </c>
      <c r="I21">
        <v>0</v>
      </c>
      <c r="J21">
        <v>0</v>
      </c>
      <c r="K21">
        <v>0</v>
      </c>
    </row>
    <row r="22" spans="2:11" x14ac:dyDescent="0.3">
      <c r="B22">
        <f t="shared" si="1"/>
        <v>0</v>
      </c>
      <c r="D22" s="25"/>
      <c r="E22" s="22" cm="1">
        <f t="array" aca="1" ref="E22" ca="1">SUMPRODUCT(INDIRECT(CELL("address",INDEX(22:22,MATCH("output",$2:$2,0))) &amp;":"&amp;CELL("address",INDEX(22:22,MAX(IF($2:$2="output",COLUMN($2:$2),0))))),INDIRECT(CELL("address",INDEX($1:$1,MATCH("output",$2:$2,0))) &amp;":"&amp;CELL("address",INDEX($1:$1,MAX(IF($2:$2="output",COLUMN($2:$2),0))))))</f>
        <v>0</v>
      </c>
      <c r="F22" s="22" cm="1">
        <f t="array" aca="1" ref="F22" ca="1">SUMPRODUCT(INDIRECT(CELL("address",INDEX(22:22,MATCH("input",$2:$2,0))) &amp;":"&amp;CELL("address",INDEX(22:22,MAX(IF($2:$2="input",COLUMN($2:$2),0))))),INDIRECT(CELL("address",INDEX($1:$1,MATCH("input",$2:$2,0))) &amp;":"&amp;CELL("address",INDEX($1:$1,MAX(IF($2:$2="input",COLUMN($2:$2),0))))))</f>
        <v>0</v>
      </c>
      <c r="G22" s="22">
        <f t="shared" ca="1" si="0"/>
        <v>0</v>
      </c>
      <c r="H22">
        <v>0</v>
      </c>
      <c r="I22">
        <v>0</v>
      </c>
      <c r="J22">
        <v>0</v>
      </c>
      <c r="K22">
        <v>0</v>
      </c>
    </row>
    <row r="23" spans="2:11" x14ac:dyDescent="0.3">
      <c r="B23">
        <f t="shared" si="1"/>
        <v>0</v>
      </c>
      <c r="E23" s="22" cm="1">
        <f t="array" aca="1" ref="E23" ca="1">SUMPRODUCT(INDIRECT(CELL("address",INDEX(23:23,MATCH("output",$2:$2,0))) &amp;":"&amp;CELL("address",INDEX(23:23,MAX(IF($2:$2="output",COLUMN($2:$2),0))))),INDIRECT(CELL("address",INDEX($1:$1,MATCH("output",$2:$2,0))) &amp;":"&amp;CELL("address",INDEX($1:$1,MAX(IF($2:$2="output",COLUMN($2:$2),0))))))</f>
        <v>0</v>
      </c>
      <c r="F23" s="22" cm="1">
        <f t="array" aca="1" ref="F23" ca="1">SUMPRODUCT(INDIRECT(CELL("address",INDEX(23:23,MATCH("input",$2:$2,0))) &amp;":"&amp;CELL("address",INDEX(23:23,MAX(IF($2:$2="input",COLUMN($2:$2),0))))),INDIRECT(CELL("address",INDEX($1:$1,MATCH("input",$2:$2,0))) &amp;":"&amp;CELL("address",INDEX($1:$1,MAX(IF($2:$2="input",COLUMN($2:$2),0))))))</f>
        <v>0</v>
      </c>
      <c r="G23" s="22">
        <f t="shared" ca="1" si="0"/>
        <v>0</v>
      </c>
      <c r="H23">
        <v>0</v>
      </c>
      <c r="I23">
        <v>0</v>
      </c>
      <c r="J23">
        <v>0</v>
      </c>
      <c r="K23">
        <v>0</v>
      </c>
    </row>
    <row r="24" spans="2:11" x14ac:dyDescent="0.3">
      <c r="B24">
        <f t="shared" si="1"/>
        <v>0</v>
      </c>
      <c r="E24" s="22" cm="1">
        <f t="array" aca="1" ref="E24" ca="1">SUMPRODUCT(INDIRECT(CELL("address",INDEX(24:24,MATCH("output",$2:$2,0))) &amp;":"&amp;CELL("address",INDEX(24:24,MAX(IF($2:$2="output",COLUMN($2:$2),0))))),INDIRECT(CELL("address",INDEX($1:$1,MATCH("output",$2:$2,0))) &amp;":"&amp;CELL("address",INDEX($1:$1,MAX(IF($2:$2="output",COLUMN($2:$2),0))))))</f>
        <v>0</v>
      </c>
      <c r="F24" s="22" cm="1">
        <f t="array" aca="1" ref="F24" ca="1">SUMPRODUCT(INDIRECT(CELL("address",INDEX(24:24,MATCH("input",$2:$2,0))) &amp;":"&amp;CELL("address",INDEX(24:24,MAX(IF($2:$2="input",COLUMN($2:$2),0))))),INDIRECT(CELL("address",INDEX($1:$1,MATCH("input",$2:$2,0))) &amp;":"&amp;CELL("address",INDEX($1:$1,MAX(IF($2:$2="input",COLUMN($2:$2),0))))))</f>
        <v>0</v>
      </c>
      <c r="G24" s="22">
        <f t="shared" ca="1" si="0"/>
        <v>0</v>
      </c>
      <c r="H24">
        <v>0</v>
      </c>
      <c r="I24">
        <v>0</v>
      </c>
      <c r="J24">
        <v>0</v>
      </c>
      <c r="K24">
        <v>0</v>
      </c>
    </row>
    <row r="25" spans="2:11" x14ac:dyDescent="0.3">
      <c r="B25">
        <f t="shared" si="1"/>
        <v>0</v>
      </c>
      <c r="E25" s="22" cm="1">
        <f t="array" aca="1" ref="E25" ca="1">SUMPRODUCT(INDIRECT(CELL("address",INDEX(25:25,MATCH("output",$2:$2,0))) &amp;":"&amp;CELL("address",INDEX(25:25,MAX(IF($2:$2="output",COLUMN($2:$2),0))))),INDIRECT(CELL("address",INDEX($1:$1,MATCH("output",$2:$2,0))) &amp;":"&amp;CELL("address",INDEX($1:$1,MAX(IF($2:$2="output",COLUMN($2:$2),0))))))</f>
        <v>0</v>
      </c>
      <c r="F25" s="22" cm="1">
        <f t="array" aca="1" ref="F25" ca="1">SUMPRODUCT(INDIRECT(CELL("address",INDEX(25:25,MATCH("input",$2:$2,0))) &amp;":"&amp;CELL("address",INDEX(25:25,MAX(IF($2:$2="input",COLUMN($2:$2),0))))),INDIRECT(CELL("address",INDEX($1:$1,MATCH("input",$2:$2,0))) &amp;":"&amp;CELL("address",INDEX($1:$1,MAX(IF($2:$2="input",COLUMN($2:$2),0))))))</f>
        <v>0</v>
      </c>
      <c r="G25" s="22">
        <f t="shared" ca="1" si="0"/>
        <v>0</v>
      </c>
      <c r="H25">
        <v>0</v>
      </c>
      <c r="I25">
        <v>0</v>
      </c>
      <c r="J25">
        <v>0</v>
      </c>
      <c r="K25">
        <v>0</v>
      </c>
    </row>
    <row r="26" spans="2:11" x14ac:dyDescent="0.3">
      <c r="B26">
        <f t="shared" si="1"/>
        <v>0</v>
      </c>
      <c r="E26" s="22" cm="1">
        <f t="array" aca="1" ref="E26" ca="1">SUMPRODUCT(INDIRECT(CELL("address",INDEX(26:26,MATCH("output",$2:$2,0))) &amp;":"&amp;CELL("address",INDEX(26:26,MAX(IF($2:$2="output",COLUMN($2:$2),0))))),INDIRECT(CELL("address",INDEX($1:$1,MATCH("output",$2:$2,0))) &amp;":"&amp;CELL("address",INDEX($1:$1,MAX(IF($2:$2="output",COLUMN($2:$2),0))))))</f>
        <v>0</v>
      </c>
      <c r="F26" s="22" cm="1">
        <f t="array" aca="1" ref="F26" ca="1">SUMPRODUCT(INDIRECT(CELL("address",INDEX(26:26,MATCH("input",$2:$2,0))) &amp;":"&amp;CELL("address",INDEX(26:26,MAX(IF($2:$2="input",COLUMN($2:$2),0))))),INDIRECT(CELL("address",INDEX($1:$1,MATCH("input",$2:$2,0))) &amp;":"&amp;CELL("address",INDEX($1:$1,MAX(IF($2:$2="input",COLUMN($2:$2),0))))))</f>
        <v>0</v>
      </c>
      <c r="G26" s="22">
        <f t="shared" ca="1" si="0"/>
        <v>0</v>
      </c>
      <c r="H26">
        <v>0</v>
      </c>
      <c r="I26">
        <v>0</v>
      </c>
      <c r="J26">
        <v>0</v>
      </c>
      <c r="K26">
        <v>0</v>
      </c>
    </row>
    <row r="27" spans="2:11" x14ac:dyDescent="0.3">
      <c r="B27">
        <f t="shared" si="1"/>
        <v>0</v>
      </c>
      <c r="E27" s="22" cm="1">
        <f t="array" aca="1" ref="E27" ca="1">SUMPRODUCT(INDIRECT(CELL("address",INDEX(27:27,MATCH("output",$2:$2,0))) &amp;":"&amp;CELL("address",INDEX(27:27,MAX(IF($2:$2="output",COLUMN($2:$2),0))))),INDIRECT(CELL("address",INDEX($1:$1,MATCH("output",$2:$2,0))) &amp;":"&amp;CELL("address",INDEX($1:$1,MAX(IF($2:$2="output",COLUMN($2:$2),0))))))</f>
        <v>0</v>
      </c>
      <c r="F27" s="22" cm="1">
        <f t="array" aca="1" ref="F27" ca="1">SUMPRODUCT(INDIRECT(CELL("address",INDEX(27:27,MATCH("input",$2:$2,0))) &amp;":"&amp;CELL("address",INDEX(27:27,MAX(IF($2:$2="input",COLUMN($2:$2),0))))),INDIRECT(CELL("address",INDEX($1:$1,MATCH("input",$2:$2,0))) &amp;":"&amp;CELL("address",INDEX($1:$1,MAX(IF($2:$2="input",COLUMN($2:$2),0))))))</f>
        <v>0</v>
      </c>
      <c r="G27" s="22">
        <f t="shared" ca="1" si="0"/>
        <v>0</v>
      </c>
      <c r="H27">
        <v>0</v>
      </c>
      <c r="I27">
        <v>0</v>
      </c>
      <c r="J27">
        <v>0</v>
      </c>
      <c r="K27">
        <v>0</v>
      </c>
    </row>
    <row r="28" spans="2:11" x14ac:dyDescent="0.3">
      <c r="B28">
        <f t="shared" si="1"/>
        <v>0</v>
      </c>
      <c r="E28" s="22" cm="1">
        <f t="array" aca="1" ref="E28" ca="1">SUMPRODUCT(INDIRECT(CELL("address",INDEX(28:28,MATCH("output",$2:$2,0))) &amp;":"&amp;CELL("address",INDEX(28:28,MAX(IF($2:$2="output",COLUMN($2:$2),0))))),INDIRECT(CELL("address",INDEX($1:$1,MATCH("output",$2:$2,0))) &amp;":"&amp;CELL("address",INDEX($1:$1,MAX(IF($2:$2="output",COLUMN($2:$2),0))))))</f>
        <v>0</v>
      </c>
      <c r="F28" s="22" cm="1">
        <f t="array" aca="1" ref="F28" ca="1">SUMPRODUCT(INDIRECT(CELL("address",INDEX(28:28,MATCH("input",$2:$2,0))) &amp;":"&amp;CELL("address",INDEX(28:28,MAX(IF($2:$2="input",COLUMN($2:$2),0))))),INDIRECT(CELL("address",INDEX($1:$1,MATCH("input",$2:$2,0))) &amp;":"&amp;CELL("address",INDEX($1:$1,MAX(IF($2:$2="input",COLUMN($2:$2),0))))))</f>
        <v>0</v>
      </c>
      <c r="G28" s="22">
        <f t="shared" ca="1" si="0"/>
        <v>0</v>
      </c>
      <c r="H28">
        <v>0</v>
      </c>
      <c r="I28">
        <v>0</v>
      </c>
      <c r="J28">
        <v>0</v>
      </c>
      <c r="K28">
        <v>0</v>
      </c>
    </row>
    <row r="29" spans="2:11" x14ac:dyDescent="0.3">
      <c r="B29">
        <f t="shared" si="1"/>
        <v>0</v>
      </c>
      <c r="E29" s="22" cm="1">
        <f t="array" aca="1" ref="E29" ca="1">SUMPRODUCT(INDIRECT(CELL("address",INDEX(29:29,MATCH("output",$2:$2,0))) &amp;":"&amp;CELL("address",INDEX(29:29,MAX(IF($2:$2="output",COLUMN($2:$2),0))))),INDIRECT(CELL("address",INDEX($1:$1,MATCH("output",$2:$2,0))) &amp;":"&amp;CELL("address",INDEX($1:$1,MAX(IF($2:$2="output",COLUMN($2:$2),0))))))</f>
        <v>0</v>
      </c>
      <c r="F29" s="22" cm="1">
        <f t="array" aca="1" ref="F29" ca="1">SUMPRODUCT(INDIRECT(CELL("address",INDEX(29:29,MATCH("input",$2:$2,0))) &amp;":"&amp;CELL("address",INDEX(29:29,MAX(IF($2:$2="input",COLUMN($2:$2),0))))),INDIRECT(CELL("address",INDEX($1:$1,MATCH("input",$2:$2,0))) &amp;":"&amp;CELL("address",INDEX($1:$1,MAX(IF($2:$2="input",COLUMN($2:$2),0))))))</f>
        <v>0</v>
      </c>
      <c r="G29" s="22">
        <f t="shared" ca="1" si="0"/>
        <v>0</v>
      </c>
      <c r="H29">
        <v>0</v>
      </c>
      <c r="I29">
        <v>0</v>
      </c>
      <c r="J29">
        <v>0</v>
      </c>
      <c r="K29">
        <v>0</v>
      </c>
    </row>
    <row r="30" spans="2:11" x14ac:dyDescent="0.3">
      <c r="B30">
        <f t="shared" si="1"/>
        <v>0</v>
      </c>
      <c r="E30" s="22" cm="1">
        <f t="array" aca="1" ref="E30" ca="1">SUMPRODUCT(INDIRECT(CELL("address",INDEX(30:30,MATCH("output",$2:$2,0))) &amp;":"&amp;CELL("address",INDEX(30:30,MAX(IF($2:$2="output",COLUMN($2:$2),0))))),INDIRECT(CELL("address",INDEX($1:$1,MATCH("output",$2:$2,0))) &amp;":"&amp;CELL("address",INDEX($1:$1,MAX(IF($2:$2="output",COLUMN($2:$2),0))))))</f>
        <v>0</v>
      </c>
      <c r="F30" s="22" cm="1">
        <f t="array" aca="1" ref="F30" ca="1">SUMPRODUCT(INDIRECT(CELL("address",INDEX(30:30,MATCH("input",$2:$2,0))) &amp;":"&amp;CELL("address",INDEX(30:30,MAX(IF($2:$2="input",COLUMN($2:$2),0))))),INDIRECT(CELL("address",INDEX($1:$1,MATCH("input",$2:$2,0))) &amp;":"&amp;CELL("address",INDEX($1:$1,MAX(IF($2:$2="input",COLUMN($2:$2),0))))))</f>
        <v>0</v>
      </c>
      <c r="G30" s="22">
        <f t="shared" ca="1" si="0"/>
        <v>0</v>
      </c>
      <c r="H30">
        <v>0</v>
      </c>
      <c r="I30">
        <v>0</v>
      </c>
      <c r="J30">
        <v>0</v>
      </c>
      <c r="K30">
        <v>0</v>
      </c>
    </row>
    <row r="31" spans="2:11" x14ac:dyDescent="0.3">
      <c r="B31">
        <f t="shared" si="1"/>
        <v>0</v>
      </c>
      <c r="E31" s="22" cm="1">
        <f t="array" aca="1" ref="E31" ca="1">SUMPRODUCT(INDIRECT(CELL("address",INDEX(31:31,MATCH("output",$2:$2,0))) &amp;":"&amp;CELL("address",INDEX(31:31,MAX(IF($2:$2="output",COLUMN($2:$2),0))))),INDIRECT(CELL("address",INDEX($1:$1,MATCH("output",$2:$2,0))) &amp;":"&amp;CELL("address",INDEX($1:$1,MAX(IF($2:$2="output",COLUMN($2:$2),0))))))</f>
        <v>0</v>
      </c>
      <c r="F31" s="22" cm="1">
        <f t="array" aca="1" ref="F31" ca="1">SUMPRODUCT(INDIRECT(CELL("address",INDEX(31:31,MATCH("input",$2:$2,0))) &amp;":"&amp;CELL("address",INDEX(31:31,MAX(IF($2:$2="input",COLUMN($2:$2),0))))),INDIRECT(CELL("address",INDEX($1:$1,MATCH("input",$2:$2,0))) &amp;":"&amp;CELL("address",INDEX($1:$1,MAX(IF($2:$2="input",COLUMN($2:$2),0))))))</f>
        <v>0</v>
      </c>
      <c r="G31" s="22">
        <f t="shared" ca="1" si="0"/>
        <v>0</v>
      </c>
      <c r="H31">
        <v>0</v>
      </c>
      <c r="I31">
        <v>0</v>
      </c>
      <c r="J31">
        <v>0</v>
      </c>
      <c r="K31">
        <v>0</v>
      </c>
    </row>
    <row r="32" spans="2:11" x14ac:dyDescent="0.3">
      <c r="B32">
        <f t="shared" si="1"/>
        <v>0</v>
      </c>
      <c r="E32" s="22" cm="1">
        <f t="array" aca="1" ref="E32" ca="1">SUMPRODUCT(INDIRECT(CELL("address",INDEX(32:32,MATCH("output",$2:$2,0))) &amp;":"&amp;CELL("address",INDEX(32:32,MAX(IF($2:$2="output",COLUMN($2:$2),0))))),INDIRECT(CELL("address",INDEX($1:$1,MATCH("output",$2:$2,0))) &amp;":"&amp;CELL("address",INDEX($1:$1,MAX(IF($2:$2="output",COLUMN($2:$2),0))))))</f>
        <v>0</v>
      </c>
      <c r="F32" s="22" cm="1">
        <f t="array" aca="1" ref="F32" ca="1">SUMPRODUCT(INDIRECT(CELL("address",INDEX(32:32,MATCH("input",$2:$2,0))) &amp;":"&amp;CELL("address",INDEX(32:32,MAX(IF($2:$2="input",COLUMN($2:$2),0))))),INDIRECT(CELL("address",INDEX($1:$1,MATCH("input",$2:$2,0))) &amp;":"&amp;CELL("address",INDEX($1:$1,MAX(IF($2:$2="input",COLUMN($2:$2),0))))))</f>
        <v>0</v>
      </c>
      <c r="G32" s="22">
        <f t="shared" ca="1" si="0"/>
        <v>0</v>
      </c>
      <c r="H32">
        <v>0</v>
      </c>
      <c r="I32">
        <v>0</v>
      </c>
      <c r="J32">
        <v>0</v>
      </c>
      <c r="K32">
        <v>0</v>
      </c>
    </row>
    <row r="33" spans="2:11" x14ac:dyDescent="0.3">
      <c r="B33">
        <f t="shared" si="1"/>
        <v>0</v>
      </c>
      <c r="E33" s="22" cm="1">
        <f t="array" aca="1" ref="E33" ca="1">SUMPRODUCT(INDIRECT(CELL("address",INDEX(33:33,MATCH("output",$2:$2,0))) &amp;":"&amp;CELL("address",INDEX(33:33,MAX(IF($2:$2="output",COLUMN($2:$2),0))))),INDIRECT(CELL("address",INDEX($1:$1,MATCH("output",$2:$2,0))) &amp;":"&amp;CELL("address",INDEX($1:$1,MAX(IF($2:$2="output",COLUMN($2:$2),0))))))</f>
        <v>0</v>
      </c>
      <c r="F33" s="22" cm="1">
        <f t="array" aca="1" ref="F33" ca="1">SUMPRODUCT(INDIRECT(CELL("address",INDEX(33:33,MATCH("input",$2:$2,0))) &amp;":"&amp;CELL("address",INDEX(33:33,MAX(IF($2:$2="input",COLUMN($2:$2),0))))),INDIRECT(CELL("address",INDEX($1:$1,MATCH("input",$2:$2,0))) &amp;":"&amp;CELL("address",INDEX($1:$1,MAX(IF($2:$2="input",COLUMN($2:$2),0))))))</f>
        <v>0</v>
      </c>
      <c r="G33" s="22">
        <f t="shared" ca="1" si="0"/>
        <v>0</v>
      </c>
      <c r="H33">
        <v>0</v>
      </c>
      <c r="I33">
        <v>0</v>
      </c>
      <c r="J33">
        <v>0</v>
      </c>
      <c r="K33">
        <v>0</v>
      </c>
    </row>
    <row r="34" spans="2:11" x14ac:dyDescent="0.3">
      <c r="B34">
        <f t="shared" si="1"/>
        <v>0</v>
      </c>
      <c r="E34" s="22" cm="1">
        <f t="array" aca="1" ref="E34" ca="1">SUMPRODUCT(INDIRECT(CELL("address",INDEX(34:34,MATCH("output",$2:$2,0))) &amp;":"&amp;CELL("address",INDEX(34:34,MAX(IF($2:$2="output",COLUMN($2:$2),0))))),INDIRECT(CELL("address",INDEX($1:$1,MATCH("output",$2:$2,0))) &amp;":"&amp;CELL("address",INDEX($1:$1,MAX(IF($2:$2="output",COLUMN($2:$2),0))))))</f>
        <v>0</v>
      </c>
      <c r="F34" s="22" cm="1">
        <f t="array" aca="1" ref="F34" ca="1">SUMPRODUCT(INDIRECT(CELL("address",INDEX(34:34,MATCH("input",$2:$2,0))) &amp;":"&amp;CELL("address",INDEX(34:34,MAX(IF($2:$2="input",COLUMN($2:$2),0))))),INDIRECT(CELL("address",INDEX($1:$1,MATCH("input",$2:$2,0))) &amp;":"&amp;CELL("address",INDEX($1:$1,MAX(IF($2:$2="input",COLUMN($2:$2),0))))))</f>
        <v>0</v>
      </c>
      <c r="G34" s="22">
        <f t="shared" ca="1" si="0"/>
        <v>0</v>
      </c>
      <c r="H34">
        <v>0</v>
      </c>
      <c r="I34">
        <v>0</v>
      </c>
      <c r="J34">
        <v>0</v>
      </c>
      <c r="K34">
        <v>0</v>
      </c>
    </row>
    <row r="35" spans="2:11" x14ac:dyDescent="0.3">
      <c r="B35">
        <f t="shared" si="1"/>
        <v>0</v>
      </c>
      <c r="E35" s="22" cm="1">
        <f t="array" aca="1" ref="E35" ca="1">SUMPRODUCT(INDIRECT(CELL("address",INDEX(35:35,MATCH("output",$2:$2,0))) &amp;":"&amp;CELL("address",INDEX(35:35,MAX(IF($2:$2="output",COLUMN($2:$2),0))))),INDIRECT(CELL("address",INDEX($1:$1,MATCH("output",$2:$2,0))) &amp;":"&amp;CELL("address",INDEX($1:$1,MAX(IF($2:$2="output",COLUMN($2:$2),0))))))</f>
        <v>0</v>
      </c>
      <c r="F35" s="22" cm="1">
        <f t="array" aca="1" ref="F35" ca="1">SUMPRODUCT(INDIRECT(CELL("address",INDEX(35:35,MATCH("input",$2:$2,0))) &amp;":"&amp;CELL("address",INDEX(35:35,MAX(IF($2:$2="input",COLUMN($2:$2),0))))),INDIRECT(CELL("address",INDEX($1:$1,MATCH("input",$2:$2,0))) &amp;":"&amp;CELL("address",INDEX($1:$1,MAX(IF($2:$2="input",COLUMN($2:$2),0))))))</f>
        <v>0</v>
      </c>
      <c r="G35" s="22">
        <f t="shared" ca="1" si="0"/>
        <v>0</v>
      </c>
      <c r="H35">
        <v>0</v>
      </c>
      <c r="I35">
        <v>0</v>
      </c>
      <c r="J35">
        <v>0</v>
      </c>
      <c r="K35">
        <v>0</v>
      </c>
    </row>
    <row r="36" spans="2:11" x14ac:dyDescent="0.3">
      <c r="B36">
        <f t="shared" si="1"/>
        <v>0</v>
      </c>
      <c r="E36" s="22" cm="1">
        <f t="array" aca="1" ref="E36" ca="1">SUMPRODUCT(INDIRECT(CELL("address",INDEX(36:36,MATCH("output",$2:$2,0))) &amp;":"&amp;CELL("address",INDEX(36:36,MAX(IF($2:$2="output",COLUMN($2:$2),0))))),INDIRECT(CELL("address",INDEX($1:$1,MATCH("output",$2:$2,0))) &amp;":"&amp;CELL("address",INDEX($1:$1,MAX(IF($2:$2="output",COLUMN($2:$2),0))))))</f>
        <v>0</v>
      </c>
      <c r="F36" s="22" cm="1">
        <f t="array" aca="1" ref="F36" ca="1">SUMPRODUCT(INDIRECT(CELL("address",INDEX(36:36,MATCH("input",$2:$2,0))) &amp;":"&amp;CELL("address",INDEX(36:36,MAX(IF($2:$2="input",COLUMN($2:$2),0))))),INDIRECT(CELL("address",INDEX($1:$1,MATCH("input",$2:$2,0))) &amp;":"&amp;CELL("address",INDEX($1:$1,MAX(IF($2:$2="input",COLUMN($2:$2),0))))))</f>
        <v>0</v>
      </c>
      <c r="G36" s="22">
        <f t="shared" ca="1" si="0"/>
        <v>0</v>
      </c>
      <c r="H36">
        <v>0</v>
      </c>
      <c r="I36">
        <v>0</v>
      </c>
      <c r="J36">
        <v>0</v>
      </c>
      <c r="K36">
        <v>0</v>
      </c>
    </row>
    <row r="37" spans="2:11" x14ac:dyDescent="0.3">
      <c r="B37">
        <f t="shared" si="1"/>
        <v>0</v>
      </c>
      <c r="E37" s="22" cm="1">
        <f t="array" aca="1" ref="E37" ca="1">SUMPRODUCT(INDIRECT(CELL("address",INDEX(37:37,MATCH("output",$2:$2,0))) &amp;":"&amp;CELL("address",INDEX(37:37,MAX(IF($2:$2="output",COLUMN($2:$2),0))))),INDIRECT(CELL("address",INDEX($1:$1,MATCH("output",$2:$2,0))) &amp;":"&amp;CELL("address",INDEX($1:$1,MAX(IF($2:$2="output",COLUMN($2:$2),0))))))</f>
        <v>0</v>
      </c>
      <c r="F37" s="22" cm="1">
        <f t="array" aca="1" ref="F37" ca="1">SUMPRODUCT(INDIRECT(CELL("address",INDEX(37:37,MATCH("input",$2:$2,0))) &amp;":"&amp;CELL("address",INDEX(37:37,MAX(IF($2:$2="input",COLUMN($2:$2),0))))),INDIRECT(CELL("address",INDEX($1:$1,MATCH("input",$2:$2,0))) &amp;":"&amp;CELL("address",INDEX($1:$1,MAX(IF($2:$2="input",COLUMN($2:$2),0))))))</f>
        <v>0</v>
      </c>
      <c r="G37" s="22">
        <f t="shared" ca="1" si="0"/>
        <v>0</v>
      </c>
      <c r="H37">
        <v>0</v>
      </c>
      <c r="I37">
        <v>0</v>
      </c>
      <c r="J37">
        <v>0</v>
      </c>
      <c r="K37">
        <v>0</v>
      </c>
    </row>
    <row r="38" spans="2:11" x14ac:dyDescent="0.3">
      <c r="B38">
        <f t="shared" si="1"/>
        <v>0</v>
      </c>
      <c r="E38" s="22" cm="1">
        <f t="array" aca="1" ref="E38" ca="1">SUMPRODUCT(INDIRECT(CELL("address",INDEX(38:38,MATCH("output",$2:$2,0))) &amp;":"&amp;CELL("address",INDEX(38:38,MAX(IF($2:$2="output",COLUMN($2:$2),0))))),INDIRECT(CELL("address",INDEX($1:$1,MATCH("output",$2:$2,0))) &amp;":"&amp;CELL("address",INDEX($1:$1,MAX(IF($2:$2="output",COLUMN($2:$2),0))))))</f>
        <v>0</v>
      </c>
      <c r="F38" s="22" cm="1">
        <f t="array" aca="1" ref="F38" ca="1">SUMPRODUCT(INDIRECT(CELL("address",INDEX(38:38,MATCH("input",$2:$2,0))) &amp;":"&amp;CELL("address",INDEX(38:38,MAX(IF($2:$2="input",COLUMN($2:$2),0))))),INDIRECT(CELL("address",INDEX($1:$1,MATCH("input",$2:$2,0))) &amp;":"&amp;CELL("address",INDEX($1:$1,MAX(IF($2:$2="input",COLUMN($2:$2),0))))))</f>
        <v>0</v>
      </c>
      <c r="G38" s="22">
        <f t="shared" ca="1" si="0"/>
        <v>0</v>
      </c>
      <c r="H38">
        <v>0</v>
      </c>
      <c r="I38">
        <v>0</v>
      </c>
      <c r="J38">
        <v>0</v>
      </c>
      <c r="K38">
        <v>0</v>
      </c>
    </row>
    <row r="39" spans="2:11" x14ac:dyDescent="0.3">
      <c r="B39">
        <f t="shared" si="1"/>
        <v>0</v>
      </c>
      <c r="E39" s="22" cm="1">
        <f t="array" aca="1" ref="E39" ca="1">SUMPRODUCT(INDIRECT(CELL("address",INDEX(39:39,MATCH("output",$2:$2,0))) &amp;":"&amp;CELL("address",INDEX(39:39,MAX(IF($2:$2="output",COLUMN($2:$2),0))))),INDIRECT(CELL("address",INDEX($1:$1,MATCH("output",$2:$2,0))) &amp;":"&amp;CELL("address",INDEX($1:$1,MAX(IF($2:$2="output",COLUMN($2:$2),0))))))</f>
        <v>0</v>
      </c>
      <c r="F39" s="22" cm="1">
        <f t="array" aca="1" ref="F39" ca="1">SUMPRODUCT(INDIRECT(CELL("address",INDEX(39:39,MATCH("input",$2:$2,0))) &amp;":"&amp;CELL("address",INDEX(39:39,MAX(IF($2:$2="input",COLUMN($2:$2),0))))),INDIRECT(CELL("address",INDEX($1:$1,MATCH("input",$2:$2,0))) &amp;":"&amp;CELL("address",INDEX($1:$1,MAX(IF($2:$2="input",COLUMN($2:$2),0))))))</f>
        <v>0</v>
      </c>
      <c r="G39" s="22">
        <f t="shared" ca="1" si="0"/>
        <v>0</v>
      </c>
      <c r="H39">
        <v>0</v>
      </c>
      <c r="I39">
        <v>0</v>
      </c>
      <c r="J39">
        <v>0</v>
      </c>
      <c r="K39">
        <v>0</v>
      </c>
    </row>
    <row r="40" spans="2:11" x14ac:dyDescent="0.3">
      <c r="B40">
        <f t="shared" si="1"/>
        <v>0</v>
      </c>
      <c r="E40" s="22" cm="1">
        <f t="array" aca="1" ref="E40" ca="1">SUMPRODUCT(INDIRECT(CELL("address",INDEX(40:40,MATCH("output",$2:$2,0))) &amp;":"&amp;CELL("address",INDEX(40:40,MAX(IF($2:$2="output",COLUMN($2:$2),0))))),INDIRECT(CELL("address",INDEX($1:$1,MATCH("output",$2:$2,0))) &amp;":"&amp;CELL("address",INDEX($1:$1,MAX(IF($2:$2="output",COLUMN($2:$2),0))))))</f>
        <v>0</v>
      </c>
      <c r="F40" s="22" cm="1">
        <f t="array" aca="1" ref="F40" ca="1">SUMPRODUCT(INDIRECT(CELL("address",INDEX(40:40,MATCH("input",$2:$2,0))) &amp;":"&amp;CELL("address",INDEX(40:40,MAX(IF($2:$2="input",COLUMN($2:$2),0))))),INDIRECT(CELL("address",INDEX($1:$1,MATCH("input",$2:$2,0))) &amp;":"&amp;CELL("address",INDEX($1:$1,MAX(IF($2:$2="input",COLUMN($2:$2),0))))))</f>
        <v>0</v>
      </c>
      <c r="G40" s="22">
        <f t="shared" ca="1" si="0"/>
        <v>0</v>
      </c>
      <c r="H40">
        <v>0</v>
      </c>
      <c r="I40">
        <v>0</v>
      </c>
      <c r="J40">
        <v>0</v>
      </c>
      <c r="K40">
        <v>0</v>
      </c>
    </row>
    <row r="41" spans="2:11" x14ac:dyDescent="0.3">
      <c r="B41">
        <f t="shared" si="1"/>
        <v>0</v>
      </c>
      <c r="E41" s="22" cm="1">
        <f t="array" aca="1" ref="E41" ca="1">SUMPRODUCT(INDIRECT(CELL("address",INDEX(41:41,MATCH("output",$2:$2,0))) &amp;":"&amp;CELL("address",INDEX(41:41,MAX(IF($2:$2="output",COLUMN($2:$2),0))))),INDIRECT(CELL("address",INDEX($1:$1,MATCH("output",$2:$2,0))) &amp;":"&amp;CELL("address",INDEX($1:$1,MAX(IF($2:$2="output",COLUMN($2:$2),0))))))</f>
        <v>0</v>
      </c>
      <c r="F41" s="22" cm="1">
        <f t="array" aca="1" ref="F41" ca="1">SUMPRODUCT(INDIRECT(CELL("address",INDEX(41:41,MATCH("input",$2:$2,0))) &amp;":"&amp;CELL("address",INDEX(41:41,MAX(IF($2:$2="input",COLUMN($2:$2),0))))),INDIRECT(CELL("address",INDEX($1:$1,MATCH("input",$2:$2,0))) &amp;":"&amp;CELL("address",INDEX($1:$1,MAX(IF($2:$2="input",COLUMN($2:$2),0))))))</f>
        <v>0</v>
      </c>
      <c r="G41" s="22">
        <f t="shared" ca="1" si="0"/>
        <v>0</v>
      </c>
      <c r="H41">
        <v>0</v>
      </c>
      <c r="I41">
        <v>0</v>
      </c>
      <c r="J41">
        <v>0</v>
      </c>
      <c r="K41">
        <v>0</v>
      </c>
    </row>
    <row r="42" spans="2:11" x14ac:dyDescent="0.3">
      <c r="B42">
        <f t="shared" si="1"/>
        <v>0</v>
      </c>
      <c r="E42" s="22" cm="1">
        <f t="array" aca="1" ref="E42" ca="1">SUMPRODUCT(INDIRECT(CELL("address",INDEX(42:42,MATCH("output",$2:$2,0))) &amp;":"&amp;CELL("address",INDEX(42:42,MAX(IF($2:$2="output",COLUMN($2:$2),0))))),INDIRECT(CELL("address",INDEX($1:$1,MATCH("output",$2:$2,0))) &amp;":"&amp;CELL("address",INDEX($1:$1,MAX(IF($2:$2="output",COLUMN($2:$2),0))))))</f>
        <v>0</v>
      </c>
      <c r="F42" s="22" cm="1">
        <f t="array" aca="1" ref="F42" ca="1">SUMPRODUCT(INDIRECT(CELL("address",INDEX(42:42,MATCH("input",$2:$2,0))) &amp;":"&amp;CELL("address",INDEX(42:42,MAX(IF($2:$2="input",COLUMN($2:$2),0))))),INDIRECT(CELL("address",INDEX($1:$1,MATCH("input",$2:$2,0))) &amp;":"&amp;CELL("address",INDEX($1:$1,MAX(IF($2:$2="input",COLUMN($2:$2),0))))))</f>
        <v>0</v>
      </c>
      <c r="G42" s="22">
        <f t="shared" ca="1" si="0"/>
        <v>0</v>
      </c>
      <c r="H42">
        <v>0</v>
      </c>
      <c r="I42">
        <v>0</v>
      </c>
      <c r="J42">
        <v>0</v>
      </c>
      <c r="K42">
        <v>0</v>
      </c>
    </row>
    <row r="43" spans="2:11" x14ac:dyDescent="0.3">
      <c r="B43">
        <f t="shared" si="1"/>
        <v>0</v>
      </c>
      <c r="E43" s="22" cm="1">
        <f t="array" aca="1" ref="E43" ca="1">SUMPRODUCT(INDIRECT(CELL("address",INDEX(43:43,MATCH("output",$2:$2,0))) &amp;":"&amp;CELL("address",INDEX(43:43,MAX(IF($2:$2="output",COLUMN($2:$2),0))))),INDIRECT(CELL("address",INDEX($1:$1,MATCH("output",$2:$2,0))) &amp;":"&amp;CELL("address",INDEX($1:$1,MAX(IF($2:$2="output",COLUMN($2:$2),0))))))</f>
        <v>0</v>
      </c>
      <c r="F43" s="22" cm="1">
        <f t="array" aca="1" ref="F43" ca="1">SUMPRODUCT(INDIRECT(CELL("address",INDEX(43:43,MATCH("input",$2:$2,0))) &amp;":"&amp;CELL("address",INDEX(43:43,MAX(IF($2:$2="input",COLUMN($2:$2),0))))),INDIRECT(CELL("address",INDEX($1:$1,MATCH("input",$2:$2,0))) &amp;":"&amp;CELL("address",INDEX($1:$1,MAX(IF($2:$2="input",COLUMN($2:$2),0))))))</f>
        <v>0</v>
      </c>
      <c r="G43" s="22">
        <f t="shared" ca="1" si="0"/>
        <v>0</v>
      </c>
      <c r="H43">
        <v>0</v>
      </c>
      <c r="I43">
        <v>0</v>
      </c>
      <c r="J43">
        <v>0</v>
      </c>
      <c r="K43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7BAB5-D825-4571-AB20-F7C32D0BFC92}">
  <sheetPr codeName="Sheet2">
    <tabColor rgb="FF880000"/>
  </sheetPr>
  <dimension ref="A1:U38"/>
  <sheetViews>
    <sheetView zoomScale="85" zoomScaleNormal="85" workbookViewId="0">
      <selection activeCell="I16" sqref="I16"/>
    </sheetView>
  </sheetViews>
  <sheetFormatPr defaultColWidth="11.09765625" defaultRowHeight="15.6" x14ac:dyDescent="0.3"/>
  <cols>
    <col min="2" max="21" width="11.09765625" style="22"/>
  </cols>
  <sheetData>
    <row r="1" spans="1:21" ht="52.8" x14ac:dyDescent="0.3">
      <c r="A1" s="167" t="s">
        <v>46</v>
      </c>
      <c r="B1" s="168" t="s">
        <v>47</v>
      </c>
      <c r="C1" s="168" t="s">
        <v>44</v>
      </c>
      <c r="D1" s="168" t="s">
        <v>42</v>
      </c>
      <c r="E1" s="168" t="s">
        <v>48</v>
      </c>
      <c r="F1" s="168" t="s">
        <v>49</v>
      </c>
      <c r="G1" s="168" t="s">
        <v>50</v>
      </c>
      <c r="H1" s="168" t="s">
        <v>51</v>
      </c>
      <c r="I1" s="168" t="s">
        <v>52</v>
      </c>
      <c r="J1" s="168" t="s">
        <v>53</v>
      </c>
      <c r="K1" s="168" t="s">
        <v>54</v>
      </c>
      <c r="L1" s="168" t="s">
        <v>55</v>
      </c>
      <c r="M1" s="168" t="s">
        <v>45</v>
      </c>
      <c r="N1" s="168" t="s">
        <v>56</v>
      </c>
      <c r="O1" s="168" t="s">
        <v>57</v>
      </c>
      <c r="P1" s="168" t="s">
        <v>58</v>
      </c>
      <c r="Q1" s="168" t="s">
        <v>43</v>
      </c>
      <c r="R1" s="168" t="s">
        <v>59</v>
      </c>
      <c r="S1" s="168" t="s">
        <v>60</v>
      </c>
      <c r="T1" s="168" t="s">
        <v>61</v>
      </c>
      <c r="U1" s="168" t="s">
        <v>62</v>
      </c>
    </row>
    <row r="2" spans="1:21" x14ac:dyDescent="0.3">
      <c r="A2" s="1" t="s">
        <v>63</v>
      </c>
      <c r="B2" s="68">
        <v>0.45106878113553345</v>
      </c>
      <c r="C2" s="68">
        <v>1543.6646920397291</v>
      </c>
      <c r="D2" s="68">
        <v>4905.8715227322646</v>
      </c>
      <c r="E2" s="68">
        <v>7.7398146858595279E-2</v>
      </c>
      <c r="F2" s="69">
        <v>2.1804334790082085E-2</v>
      </c>
      <c r="G2" s="69">
        <v>3.533862985060085E-2</v>
      </c>
      <c r="H2" s="69">
        <v>0.25010698272645054</v>
      </c>
      <c r="I2" s="68">
        <v>2.6104596448151173E-2</v>
      </c>
      <c r="J2" s="68">
        <v>0.32798236630400579</v>
      </c>
      <c r="K2" s="68">
        <v>40506.897369497121</v>
      </c>
      <c r="L2" s="68">
        <v>6120.4795221479308</v>
      </c>
      <c r="M2" s="68">
        <v>38813.762175593962</v>
      </c>
      <c r="N2" s="68">
        <v>2727.9783390794573</v>
      </c>
      <c r="O2" s="68">
        <v>25008.985930370491</v>
      </c>
      <c r="P2" s="68">
        <v>1557.4538841779508</v>
      </c>
      <c r="Q2" s="69">
        <v>132.5895687915615</v>
      </c>
      <c r="R2" s="69">
        <v>42.752137845789882</v>
      </c>
      <c r="S2" s="7">
        <v>1.03370281492507</v>
      </c>
      <c r="T2" s="68">
        <v>94.658579605533234</v>
      </c>
      <c r="U2" s="68">
        <v>45.655623421388697</v>
      </c>
    </row>
    <row r="3" spans="1:21" x14ac:dyDescent="0.3">
      <c r="A3" s="166" t="s">
        <v>64</v>
      </c>
      <c r="B3" s="68">
        <v>0.1471962655367377</v>
      </c>
      <c r="C3" s="68">
        <v>777.30308467806265</v>
      </c>
      <c r="D3" s="68">
        <v>1614.6445466288892</v>
      </c>
      <c r="E3" s="68">
        <v>9.5288266383684428E-2</v>
      </c>
      <c r="F3" s="69">
        <v>0</v>
      </c>
      <c r="G3" s="69">
        <v>0</v>
      </c>
      <c r="H3" s="69">
        <v>0.31014055361161574</v>
      </c>
      <c r="I3" s="68">
        <v>2.6697187567682752E-2</v>
      </c>
      <c r="J3" s="68" t="s">
        <v>65</v>
      </c>
      <c r="K3" s="68">
        <v>43518.355390691198</v>
      </c>
      <c r="L3" s="68">
        <v>14421.238903679263</v>
      </c>
      <c r="M3" s="68">
        <v>12697.540259894553</v>
      </c>
      <c r="N3" s="68">
        <v>1572.9801365668882</v>
      </c>
      <c r="O3" s="68">
        <v>641.15955466580021</v>
      </c>
      <c r="P3" s="68">
        <v>131.18735452644691</v>
      </c>
      <c r="Q3" s="69">
        <v>50.359753759161492</v>
      </c>
      <c r="R3" s="69">
        <v>32.164609824806007</v>
      </c>
      <c r="S3" s="7">
        <v>0.90141533792534023</v>
      </c>
      <c r="T3" s="68">
        <v>90.414117981488232</v>
      </c>
      <c r="U3" s="68">
        <v>59.865420741985439</v>
      </c>
    </row>
    <row r="4" spans="1:21" x14ac:dyDescent="0.3">
      <c r="A4" s="166" t="s">
        <v>66</v>
      </c>
      <c r="B4" s="68">
        <v>0.43053151322383792</v>
      </c>
      <c r="C4" s="68">
        <v>1496.5400104391686</v>
      </c>
      <c r="D4" s="68">
        <v>14201.23795490936</v>
      </c>
      <c r="E4" s="68">
        <v>9.5024003030036858E-2</v>
      </c>
      <c r="F4" s="69">
        <v>1.156225174093152E-2</v>
      </c>
      <c r="G4" s="69">
        <v>6.4803142418670176E-2</v>
      </c>
      <c r="H4" s="69">
        <v>0.35088708988640227</v>
      </c>
      <c r="I4" s="68">
        <v>3.9637339723409923E-2</v>
      </c>
      <c r="J4" s="68">
        <v>0.22961536687006864</v>
      </c>
      <c r="K4" s="68">
        <v>147766.88571121212</v>
      </c>
      <c r="L4" s="68">
        <v>18807.975163079038</v>
      </c>
      <c r="M4" s="68">
        <v>117129.16089424651</v>
      </c>
      <c r="N4" s="68">
        <v>5179.1205589007013</v>
      </c>
      <c r="O4" s="68">
        <v>4799.1354649111545</v>
      </c>
      <c r="P4" s="68">
        <v>340.3900075155388</v>
      </c>
      <c r="Q4" s="69">
        <v>361.30558307929294</v>
      </c>
      <c r="R4" s="69">
        <v>105.2014277170625</v>
      </c>
      <c r="S4" s="7">
        <v>1.2388152717375058</v>
      </c>
      <c r="T4" s="68">
        <v>431.7911961588884</v>
      </c>
      <c r="U4" s="68">
        <v>241.42918128958777</v>
      </c>
    </row>
    <row r="5" spans="1:21" x14ac:dyDescent="0.3">
      <c r="A5" s="166" t="s">
        <v>67</v>
      </c>
      <c r="B5" s="68">
        <v>0.19784295602882956</v>
      </c>
      <c r="C5" s="68">
        <v>1070.974211155285</v>
      </c>
      <c r="D5" s="68">
        <v>4869.0738221310939</v>
      </c>
      <c r="E5" s="68">
        <v>7.1872277852404631E-2</v>
      </c>
      <c r="F5" s="69">
        <v>6.358539873843291E-3</v>
      </c>
      <c r="G5" s="69">
        <v>0.13573562379641321</v>
      </c>
      <c r="H5" s="69">
        <v>0.17251953251780722</v>
      </c>
      <c r="I5" s="68">
        <v>1.3245754797252767E-2</v>
      </c>
      <c r="J5" s="68">
        <v>0.24812900266487894</v>
      </c>
      <c r="K5" s="68">
        <v>63430.508718716424</v>
      </c>
      <c r="L5" s="68">
        <v>4688.3004745979033</v>
      </c>
      <c r="M5" s="68">
        <v>26036.857492125939</v>
      </c>
      <c r="N5" s="68">
        <v>1094.638234240922</v>
      </c>
      <c r="O5" s="68">
        <v>509.19782848409022</v>
      </c>
      <c r="P5" s="68">
        <v>18.769782980439999</v>
      </c>
      <c r="Q5" s="69">
        <v>143.19871505164446</v>
      </c>
      <c r="R5" s="69">
        <v>88.168481737426958</v>
      </c>
      <c r="S5" s="7">
        <v>1.7401065136667968</v>
      </c>
      <c r="T5" s="68">
        <v>160.16354816664332</v>
      </c>
      <c r="U5" s="68">
        <v>93.249908001904032</v>
      </c>
    </row>
    <row r="6" spans="1:21" x14ac:dyDescent="0.3">
      <c r="A6" s="166" t="s">
        <v>68</v>
      </c>
      <c r="B6" s="68">
        <v>0.19805403614825118</v>
      </c>
      <c r="C6" s="68">
        <v>1112.77459307856</v>
      </c>
      <c r="D6" s="68">
        <v>8245.7382661362099</v>
      </c>
      <c r="E6" s="68">
        <v>6.7367526450994572E-2</v>
      </c>
      <c r="F6" s="69">
        <v>1.6076936165899669E-2</v>
      </c>
      <c r="G6" s="69">
        <v>8.5624114246583782E-2</v>
      </c>
      <c r="H6" s="69">
        <v>0.18214561238977695</v>
      </c>
      <c r="I6" s="68">
        <v>2.9768641132181282E-2</v>
      </c>
      <c r="J6" s="68">
        <v>0.29815592265955021</v>
      </c>
      <c r="K6" s="68">
        <v>123880.65341485252</v>
      </c>
      <c r="L6" s="68">
        <v>14626.269349176233</v>
      </c>
      <c r="M6" s="68">
        <v>48005.22037165839</v>
      </c>
      <c r="N6" s="68">
        <v>4881.4469107790192</v>
      </c>
      <c r="O6" s="68">
        <v>5221.0480762916668</v>
      </c>
      <c r="P6" s="68">
        <v>141.38380817064365</v>
      </c>
      <c r="Q6" s="69">
        <v>263.83079194436544</v>
      </c>
      <c r="R6" s="69">
        <v>109.71128044037862</v>
      </c>
      <c r="S6" s="7">
        <v>4.1119793795157076</v>
      </c>
      <c r="T6" s="68">
        <v>1094.4688107678758</v>
      </c>
      <c r="U6" s="68">
        <v>755.68446898847117</v>
      </c>
    </row>
    <row r="7" spans="1:21" x14ac:dyDescent="0.3">
      <c r="A7" s="166" t="s">
        <v>69</v>
      </c>
      <c r="B7" s="68">
        <v>0.19247303445275726</v>
      </c>
      <c r="C7" s="68">
        <v>1070.2434064107395</v>
      </c>
      <c r="D7" s="68">
        <v>6329.9304960188347</v>
      </c>
      <c r="E7" s="68">
        <v>7.100194796570182E-2</v>
      </c>
      <c r="F7" s="69">
        <v>2.5647932219682219E-2</v>
      </c>
      <c r="G7" s="69">
        <v>5.7264483700479776E-2</v>
      </c>
      <c r="H7" s="69">
        <v>0.13133834281062573</v>
      </c>
      <c r="I7" s="68">
        <v>8.5711772825557801E-3</v>
      </c>
      <c r="J7" s="68">
        <v>0.27877395529025112</v>
      </c>
      <c r="K7" s="68">
        <v>51487.582885021322</v>
      </c>
      <c r="L7" s="68">
        <v>6600.4778533860035</v>
      </c>
      <c r="M7" s="68">
        <v>41839.70154360195</v>
      </c>
      <c r="N7" s="68">
        <v>2486.0955642011809</v>
      </c>
      <c r="O7" s="68">
        <v>2480.7300054623797</v>
      </c>
      <c r="P7" s="68">
        <v>62.300598866783105</v>
      </c>
      <c r="Q7" s="69">
        <v>168.18949167573572</v>
      </c>
      <c r="R7" s="69">
        <v>107.57661804363188</v>
      </c>
      <c r="S7" s="7">
        <v>1.6278479218193536</v>
      </c>
      <c r="T7" s="68">
        <v>233.56775782261391</v>
      </c>
      <c r="U7" s="68">
        <v>144.44141718267522</v>
      </c>
    </row>
    <row r="8" spans="1:21" x14ac:dyDescent="0.3">
      <c r="A8" s="166" t="s">
        <v>70</v>
      </c>
      <c r="B8" s="68">
        <v>0.44693473555504554</v>
      </c>
      <c r="C8" s="68">
        <v>1503.8744215775203</v>
      </c>
      <c r="D8" s="68">
        <v>6189.3487510779296</v>
      </c>
      <c r="E8" s="68">
        <v>6.4923365687727427E-2</v>
      </c>
      <c r="F8" s="69">
        <v>1.9542462081318698E-2</v>
      </c>
      <c r="G8" s="69">
        <v>6.333252070318432E-2</v>
      </c>
      <c r="H8" s="69">
        <v>0.21981137365110939</v>
      </c>
      <c r="I8" s="68">
        <v>2.1062563398377043E-2</v>
      </c>
      <c r="J8" s="68">
        <v>0.22687722120762993</v>
      </c>
      <c r="K8" s="68">
        <v>61786.626257764103</v>
      </c>
      <c r="L8" s="68">
        <v>7117.1030831971193</v>
      </c>
      <c r="M8" s="68">
        <v>51990.778840808489</v>
      </c>
      <c r="N8" s="68">
        <v>1568.6440973203535</v>
      </c>
      <c r="O8" s="68">
        <v>4168.0842903426237</v>
      </c>
      <c r="P8" s="68">
        <v>0</v>
      </c>
      <c r="Q8" s="69">
        <v>0</v>
      </c>
      <c r="R8" s="69">
        <v>0</v>
      </c>
      <c r="S8" s="7">
        <v>1.1712438377554515</v>
      </c>
      <c r="T8" s="68">
        <v>38.370818414707081</v>
      </c>
      <c r="U8" s="68">
        <v>19.777190691450734</v>
      </c>
    </row>
    <row r="9" spans="1:21" x14ac:dyDescent="0.3">
      <c r="A9" s="166" t="s">
        <v>27</v>
      </c>
      <c r="B9" s="68">
        <v>0.44314805386162148</v>
      </c>
      <c r="C9" s="68">
        <v>1463.2495395004203</v>
      </c>
      <c r="D9" s="68">
        <v>8898.3562478568801</v>
      </c>
      <c r="E9" s="68">
        <v>7.9042373553420572E-2</v>
      </c>
      <c r="F9" s="69">
        <v>2.9109498833817982E-3</v>
      </c>
      <c r="G9" s="69">
        <v>6.9941090468523287E-2</v>
      </c>
      <c r="H9" s="69">
        <v>0.26871149848602188</v>
      </c>
      <c r="I9" s="68">
        <v>3.2334993177036871E-2</v>
      </c>
      <c r="J9" s="68">
        <v>0.30987692995021276</v>
      </c>
      <c r="K9" s="68">
        <v>92719.720550985861</v>
      </c>
      <c r="L9" s="68">
        <v>14998.125635205677</v>
      </c>
      <c r="M9" s="68">
        <v>73110.389833408321</v>
      </c>
      <c r="N9" s="68">
        <v>5603.147860128397</v>
      </c>
      <c r="O9" s="68">
        <v>34490.292858833578</v>
      </c>
      <c r="P9" s="68">
        <v>1436.6015373105145</v>
      </c>
      <c r="Q9" s="69">
        <v>265.43938796482155</v>
      </c>
      <c r="R9" s="69">
        <v>93.101465282901543</v>
      </c>
      <c r="S9" s="7">
        <v>1.2047657720091531</v>
      </c>
      <c r="T9" s="68">
        <v>143.13228054309161</v>
      </c>
      <c r="U9" s="68">
        <v>83.177760110158459</v>
      </c>
    </row>
    <row r="10" spans="1:21" x14ac:dyDescent="0.3">
      <c r="A10" s="166" t="s">
        <v>71</v>
      </c>
      <c r="B10" s="68">
        <v>0.4510429024784367</v>
      </c>
      <c r="C10" s="68">
        <v>1566.6797750272165</v>
      </c>
      <c r="D10" s="68">
        <v>6303.0946744546973</v>
      </c>
      <c r="E10" s="68">
        <v>7.9701550783891767E-2</v>
      </c>
      <c r="F10" s="69">
        <v>4.1237216671929479E-3</v>
      </c>
      <c r="G10" s="69">
        <v>0.17793555103909178</v>
      </c>
      <c r="H10" s="69">
        <v>0.13875753087244352</v>
      </c>
      <c r="I10" s="68">
        <v>4.0198439616156552E-2</v>
      </c>
      <c r="J10" s="68">
        <v>0.26040987596753284</v>
      </c>
      <c r="K10" s="68">
        <v>61969.423089745796</v>
      </c>
      <c r="L10" s="68">
        <v>21618.724454117499</v>
      </c>
      <c r="M10" s="68">
        <v>46479.470835616608</v>
      </c>
      <c r="N10" s="68">
        <v>7706.0176369921428</v>
      </c>
      <c r="O10" s="68">
        <v>1579.9319998827605</v>
      </c>
      <c r="P10" s="68">
        <v>950.10549739908856</v>
      </c>
      <c r="Q10" s="69">
        <v>144.92393177833648</v>
      </c>
      <c r="R10" s="69">
        <v>81.904382248364001</v>
      </c>
      <c r="S10" s="7">
        <v>3.8349194110704938</v>
      </c>
      <c r="T10" s="68">
        <v>215.54262563220843</v>
      </c>
      <c r="U10" s="68">
        <v>169.17970215525347</v>
      </c>
    </row>
    <row r="11" spans="1:21" x14ac:dyDescent="0.3">
      <c r="A11" s="166" t="s">
        <v>72</v>
      </c>
      <c r="B11" s="68">
        <v>0.42870825960644365</v>
      </c>
      <c r="C11" s="68">
        <v>1545.9886457675468</v>
      </c>
      <c r="D11" s="68">
        <v>7603.1600904970328</v>
      </c>
      <c r="E11" s="68">
        <v>7.1834561451956824E-2</v>
      </c>
      <c r="F11" s="69">
        <v>1.919876232639639E-2</v>
      </c>
      <c r="G11" s="69">
        <v>0.10623099272066508</v>
      </c>
      <c r="H11" s="69">
        <v>0.27853482968948379</v>
      </c>
      <c r="I11" s="68">
        <v>2.985640458698318E-2</v>
      </c>
      <c r="J11" s="68">
        <v>0.18681481775843531</v>
      </c>
      <c r="K11" s="68">
        <v>63668.552938072324</v>
      </c>
      <c r="L11" s="68">
        <v>2305.0053497429753</v>
      </c>
      <c r="M11" s="68">
        <v>66839.089557020372</v>
      </c>
      <c r="N11" s="68">
        <v>1588.4735293438393</v>
      </c>
      <c r="O11" s="68">
        <v>11424.275006297594</v>
      </c>
      <c r="P11" s="68">
        <v>1360.4521055165101</v>
      </c>
      <c r="Q11" s="69">
        <v>88.330703562953232</v>
      </c>
      <c r="R11" s="69">
        <v>36.391398934855388</v>
      </c>
      <c r="S11" s="7">
        <v>0.39042938300758284</v>
      </c>
      <c r="T11" s="68">
        <v>40.7301702762554</v>
      </c>
      <c r="U11" s="68">
        <v>24.473594802571746</v>
      </c>
    </row>
    <row r="12" spans="1:21" x14ac:dyDescent="0.3">
      <c r="A12" s="166" t="s">
        <v>73</v>
      </c>
      <c r="B12" s="68">
        <v>0.44418285325844359</v>
      </c>
      <c r="C12" s="68">
        <v>1543.130143001342</v>
      </c>
      <c r="D12" s="68">
        <v>13835.013071722193</v>
      </c>
      <c r="E12" s="68">
        <v>6.440256528277169E-2</v>
      </c>
      <c r="F12" s="69">
        <v>2.2106867872299599E-2</v>
      </c>
      <c r="G12" s="69">
        <v>7.697895286439381E-2</v>
      </c>
      <c r="H12" s="69">
        <v>0.26142586360046094</v>
      </c>
      <c r="I12" s="68">
        <v>6.9993292381362815E-2</v>
      </c>
      <c r="J12" s="68">
        <v>0.96299639412580906</v>
      </c>
      <c r="K12" s="68">
        <v>121369.22354160783</v>
      </c>
      <c r="L12" s="68">
        <v>15450.260167523389</v>
      </c>
      <c r="M12" s="68">
        <v>121096.18168756743</v>
      </c>
      <c r="N12" s="68">
        <v>12067.07794592716</v>
      </c>
      <c r="O12" s="68">
        <v>826.93977933000588</v>
      </c>
      <c r="P12" s="68">
        <v>294.36488070354307</v>
      </c>
      <c r="Q12" s="69">
        <v>139.89229656171702</v>
      </c>
      <c r="R12" s="69">
        <v>50.409501363937039</v>
      </c>
      <c r="S12" s="7">
        <v>1.3381395639692875</v>
      </c>
      <c r="T12" s="68">
        <v>245.53181771115621</v>
      </c>
      <c r="U12" s="68">
        <v>154.129105692265</v>
      </c>
    </row>
    <row r="13" spans="1:21" x14ac:dyDescent="0.3">
      <c r="A13" s="166" t="s">
        <v>74</v>
      </c>
      <c r="B13" s="68">
        <v>0.14599035394695389</v>
      </c>
      <c r="C13" s="68">
        <v>762.32681594137625</v>
      </c>
      <c r="D13" s="68">
        <v>589.6240991823754</v>
      </c>
      <c r="E13" s="68">
        <v>0.10070042948781605</v>
      </c>
      <c r="F13" s="69">
        <v>0</v>
      </c>
      <c r="G13" s="69">
        <v>0</v>
      </c>
      <c r="H13" s="69">
        <v>1.6065840807312451E-2</v>
      </c>
      <c r="I13" s="68">
        <v>7.6255446498989573E-3</v>
      </c>
      <c r="J13" s="68">
        <v>0</v>
      </c>
      <c r="K13" s="68">
        <v>10461.942483550703</v>
      </c>
      <c r="L13" s="68">
        <v>789.07928419433733</v>
      </c>
      <c r="M13" s="68">
        <v>940.0644574492336</v>
      </c>
      <c r="N13" s="68">
        <v>0</v>
      </c>
      <c r="O13" s="68">
        <v>13.857607188652198</v>
      </c>
      <c r="P13" s="68">
        <v>0</v>
      </c>
      <c r="Q13" s="69">
        <v>0</v>
      </c>
      <c r="R13" s="69">
        <v>0</v>
      </c>
      <c r="S13" s="7" t="s">
        <v>65</v>
      </c>
      <c r="T13" s="68" t="s">
        <v>65</v>
      </c>
      <c r="U13" s="68" t="s">
        <v>65</v>
      </c>
    </row>
    <row r="14" spans="1:21" x14ac:dyDescent="0.3">
      <c r="A14" s="166" t="s">
        <v>75</v>
      </c>
      <c r="B14" s="68">
        <v>0.1511029964084121</v>
      </c>
      <c r="C14" s="68">
        <v>761.97069736110859</v>
      </c>
      <c r="D14" s="68">
        <v>555.46833051517433</v>
      </c>
      <c r="E14" s="68">
        <v>6.1059868538786435E-2</v>
      </c>
      <c r="F14" s="69">
        <v>3.9853785777738751E-2</v>
      </c>
      <c r="G14" s="69">
        <v>9.8736249887320535E-2</v>
      </c>
      <c r="H14" s="69">
        <v>0.18647968918693994</v>
      </c>
      <c r="I14" s="68">
        <v>8.2174355847106067E-3</v>
      </c>
      <c r="J14" s="68">
        <v>0.31075384387650778</v>
      </c>
      <c r="K14" s="68">
        <v>24313.550727824619</v>
      </c>
      <c r="L14" s="68">
        <v>6930.0362808416012</v>
      </c>
      <c r="M14" s="68">
        <v>3165.0747162117996</v>
      </c>
      <c r="N14" s="68">
        <v>584.00463642470504</v>
      </c>
      <c r="O14" s="68">
        <v>4864.768719872598</v>
      </c>
      <c r="P14" s="68">
        <v>357.44623731867244</v>
      </c>
      <c r="Q14" s="69">
        <v>0</v>
      </c>
      <c r="R14" s="69">
        <v>0</v>
      </c>
      <c r="S14" s="7">
        <v>2.4411062480774111</v>
      </c>
      <c r="T14" s="68">
        <v>340.82971727026228</v>
      </c>
      <c r="U14" s="68">
        <v>159.07221685826624</v>
      </c>
    </row>
    <row r="15" spans="1:21" x14ac:dyDescent="0.3">
      <c r="A15" s="166" t="s">
        <v>76</v>
      </c>
      <c r="B15" s="68">
        <v>0.19038165815421354</v>
      </c>
      <c r="C15" s="68">
        <v>1104.8261949759697</v>
      </c>
      <c r="D15" s="68">
        <v>9613.9982070311125</v>
      </c>
      <c r="E15" s="68">
        <v>8.5015690308577335E-2</v>
      </c>
      <c r="F15" s="69">
        <v>1.1399527565068823E-2</v>
      </c>
      <c r="G15" s="69">
        <v>5.4118006055844742E-2</v>
      </c>
      <c r="H15" s="69">
        <v>0.20428384806890468</v>
      </c>
      <c r="I15" s="68">
        <v>1.6600488859305488E-2</v>
      </c>
      <c r="J15" s="68">
        <v>0.22914320389024975</v>
      </c>
      <c r="K15" s="68">
        <v>79401.36053415155</v>
      </c>
      <c r="L15" s="68">
        <v>17418.762685074696</v>
      </c>
      <c r="M15" s="68">
        <v>63528.313206223524</v>
      </c>
      <c r="N15" s="68">
        <v>5212.0058103679439</v>
      </c>
      <c r="O15" s="68">
        <v>241.16985519715291</v>
      </c>
      <c r="P15" s="68">
        <v>42.191469159453753</v>
      </c>
      <c r="Q15" s="69">
        <v>170.07518339830216</v>
      </c>
      <c r="R15" s="69">
        <v>26.843194935564881</v>
      </c>
      <c r="S15" s="7">
        <v>2.2604189350500761</v>
      </c>
      <c r="T15" s="68">
        <v>325.47077627499004</v>
      </c>
      <c r="U15" s="68">
        <v>226.24617248399267</v>
      </c>
    </row>
    <row r="16" spans="1:21" x14ac:dyDescent="0.3">
      <c r="A16" s="166" t="s">
        <v>77</v>
      </c>
      <c r="B16" s="68">
        <v>0.19097853388589306</v>
      </c>
      <c r="C16" s="68">
        <v>1035.4424292843739</v>
      </c>
      <c r="D16" s="68">
        <v>2706.6785656884049</v>
      </c>
      <c r="E16" s="68">
        <v>7.4748842717268907E-2</v>
      </c>
      <c r="F16" s="69">
        <v>8.4520736925092037E-3</v>
      </c>
      <c r="G16" s="69">
        <v>1.5993950280816894E-2</v>
      </c>
      <c r="H16" s="69">
        <v>0.18525804328284867</v>
      </c>
      <c r="I16" s="68">
        <v>1.0272475998373276E-2</v>
      </c>
      <c r="J16" s="68">
        <v>0.28805037373882736</v>
      </c>
      <c r="K16" s="68">
        <v>22340.849964012003</v>
      </c>
      <c r="L16" s="68">
        <v>4226.8350257935599</v>
      </c>
      <c r="M16" s="68">
        <v>10842.262427467289</v>
      </c>
      <c r="N16" s="68">
        <v>1439.1201408661082</v>
      </c>
      <c r="O16" s="68">
        <v>100.42512595675093</v>
      </c>
      <c r="P16" s="68">
        <v>12.662985956147461</v>
      </c>
      <c r="Q16" s="69">
        <v>160.76708693811415</v>
      </c>
      <c r="R16" s="69">
        <v>121.77538848815317</v>
      </c>
      <c r="S16" s="7">
        <v>1.6277590337710757</v>
      </c>
      <c r="T16" s="68">
        <v>220.58795236315802</v>
      </c>
      <c r="U16" s="68">
        <v>104.7459108281267</v>
      </c>
    </row>
    <row r="17" spans="1:21" x14ac:dyDescent="0.3">
      <c r="A17" s="166" t="s">
        <v>78</v>
      </c>
      <c r="B17" s="68">
        <v>0.43280607748582361</v>
      </c>
      <c r="C17" s="68">
        <v>1581.9945153048554</v>
      </c>
      <c r="D17" s="68">
        <v>13814.692332851082</v>
      </c>
      <c r="E17" s="68">
        <v>9.4188070219525633E-2</v>
      </c>
      <c r="F17" s="69">
        <v>3.0990856313022043E-2</v>
      </c>
      <c r="G17" s="69">
        <v>0.16159671543729717</v>
      </c>
      <c r="H17" s="69">
        <v>0.32963684782869479</v>
      </c>
      <c r="I17" s="68">
        <v>4.7362610534256604E-2</v>
      </c>
      <c r="J17" s="68">
        <v>0.40884494240021368</v>
      </c>
      <c r="K17" s="68">
        <v>135522.4618191325</v>
      </c>
      <c r="L17" s="68">
        <v>34718.772985982854</v>
      </c>
      <c r="M17" s="68">
        <v>109198.30143433674</v>
      </c>
      <c r="N17" s="68">
        <v>12137.941878113284</v>
      </c>
      <c r="O17" s="68">
        <v>3433.1446086642541</v>
      </c>
      <c r="P17" s="68">
        <v>382.92462350233228</v>
      </c>
      <c r="Q17" s="69">
        <v>285.67061572560317</v>
      </c>
      <c r="R17" s="69">
        <v>107.38773697004434</v>
      </c>
      <c r="S17" s="7">
        <v>1.5604547673389562</v>
      </c>
      <c r="T17" s="68">
        <v>382.69255110142365</v>
      </c>
      <c r="U17" s="68">
        <v>240.77246931035782</v>
      </c>
    </row>
    <row r="18" spans="1:21" x14ac:dyDescent="0.3">
      <c r="A18" s="166" t="s">
        <v>79</v>
      </c>
      <c r="B18" s="68">
        <v>0.14321894308448696</v>
      </c>
      <c r="C18" s="68">
        <v>754.65669392675534</v>
      </c>
      <c r="D18" s="68">
        <v>46.714592059130531</v>
      </c>
      <c r="E18" s="68">
        <v>9.500595155474191E-2</v>
      </c>
      <c r="F18" s="69">
        <v>1.8394351986203285E-2</v>
      </c>
      <c r="G18" s="69">
        <v>9.0559966061956917E-2</v>
      </c>
      <c r="H18" s="69">
        <v>0.20671013247090861</v>
      </c>
      <c r="I18" s="68">
        <v>4.117294129489241E-3</v>
      </c>
      <c r="J18" s="68">
        <v>0</v>
      </c>
      <c r="K18" s="68">
        <v>17743.649727076157</v>
      </c>
      <c r="L18" s="68">
        <v>5241.1352580703106</v>
      </c>
      <c r="M18" s="68">
        <v>769.24966752148782</v>
      </c>
      <c r="N18" s="68">
        <v>333.70891511126064</v>
      </c>
      <c r="O18" s="68">
        <v>187.21405200676759</v>
      </c>
      <c r="P18" s="68">
        <v>4.7608960738435862</v>
      </c>
      <c r="Q18" s="69">
        <v>0</v>
      </c>
      <c r="R18" s="69">
        <v>0</v>
      </c>
      <c r="S18" s="7">
        <v>0.30125194370236108</v>
      </c>
      <c r="T18" s="68">
        <v>8.3803836744167075</v>
      </c>
      <c r="U18" s="68">
        <v>2.165655068213006</v>
      </c>
    </row>
    <row r="19" spans="1:21" x14ac:dyDescent="0.3">
      <c r="A19" s="166" t="s">
        <v>29</v>
      </c>
      <c r="B19" s="68">
        <v>0.4460675128620315</v>
      </c>
      <c r="C19" s="68">
        <v>1564.332759418515</v>
      </c>
      <c r="D19" s="68">
        <v>9291.8729619525839</v>
      </c>
      <c r="E19" s="68">
        <v>7.4626615390460657E-2</v>
      </c>
      <c r="F19" s="69">
        <v>3.1142700132462165E-2</v>
      </c>
      <c r="G19" s="69">
        <v>4.5801944040405204E-2</v>
      </c>
      <c r="H19" s="69">
        <v>0.12760673266833575</v>
      </c>
      <c r="I19" s="68">
        <v>1.5308747305609539E-2</v>
      </c>
      <c r="J19" s="68">
        <v>0.20193644609214195</v>
      </c>
      <c r="K19" s="68">
        <v>99230.745322473696</v>
      </c>
      <c r="L19" s="68">
        <v>15125.858513062894</v>
      </c>
      <c r="M19" s="68">
        <v>86466.088970960147</v>
      </c>
      <c r="N19" s="68">
        <v>3920.8454642632837</v>
      </c>
      <c r="O19" s="68">
        <v>19691.831045216877</v>
      </c>
      <c r="P19" s="68">
        <v>272.61818336155409</v>
      </c>
      <c r="Q19" s="69">
        <v>410.58181666261288</v>
      </c>
      <c r="R19" s="69">
        <v>250.52300278751096</v>
      </c>
      <c r="S19" s="7">
        <v>1.0888957544491238</v>
      </c>
      <c r="T19" s="68">
        <v>160.13259179900675</v>
      </c>
      <c r="U19" s="68">
        <v>80.966566785192413</v>
      </c>
    </row>
    <row r="20" spans="1:21" x14ac:dyDescent="0.3">
      <c r="A20" s="166" t="s">
        <v>80</v>
      </c>
      <c r="B20" s="68">
        <v>0.43037198049534353</v>
      </c>
      <c r="C20" s="68">
        <v>1533.136775465244</v>
      </c>
      <c r="D20" s="68">
        <v>2992.3960196394682</v>
      </c>
      <c r="E20" s="68">
        <v>2.0714460110426327E-3</v>
      </c>
      <c r="F20" s="69">
        <v>0</v>
      </c>
      <c r="G20" s="69">
        <v>0</v>
      </c>
      <c r="H20" s="69">
        <v>0.12619827515848528</v>
      </c>
      <c r="I20" s="68">
        <v>0</v>
      </c>
      <c r="J20" s="68">
        <v>0.23193032243072781</v>
      </c>
      <c r="K20" s="68">
        <v>1207.3246711779541</v>
      </c>
      <c r="L20" s="68">
        <v>0</v>
      </c>
      <c r="M20" s="68">
        <v>6707.1119459735046</v>
      </c>
      <c r="N20" s="68">
        <v>89.077413869729682</v>
      </c>
      <c r="O20" s="68">
        <v>597.38364753969358</v>
      </c>
      <c r="P20" s="68">
        <v>365.84389322494587</v>
      </c>
      <c r="Q20" s="69">
        <v>0</v>
      </c>
      <c r="R20" s="69">
        <v>0</v>
      </c>
      <c r="S20" s="7">
        <v>1.7314953164410252</v>
      </c>
      <c r="T20" s="68">
        <v>111.14766299610518</v>
      </c>
      <c r="U20" s="68">
        <v>36.901447966707948</v>
      </c>
    </row>
    <row r="21" spans="1:21" x14ac:dyDescent="0.3">
      <c r="A21" s="166" t="s">
        <v>81</v>
      </c>
      <c r="B21" s="68">
        <v>0.19631914893962854</v>
      </c>
      <c r="C21" s="68">
        <v>1069.8077907245233</v>
      </c>
      <c r="D21" s="68">
        <v>4506.8536689404064</v>
      </c>
      <c r="E21" s="68">
        <v>9.3915540529134214E-2</v>
      </c>
      <c r="F21" s="69">
        <v>8.1539446135470359E-3</v>
      </c>
      <c r="G21" s="69">
        <v>0.1219094641527502</v>
      </c>
      <c r="H21" s="69">
        <v>0.18795252404147914</v>
      </c>
      <c r="I21" s="68">
        <v>4.8288112105472764E-2</v>
      </c>
      <c r="J21" s="68" t="s">
        <v>65</v>
      </c>
      <c r="K21" s="68">
        <v>39933.970829996957</v>
      </c>
      <c r="L21" s="68">
        <v>5081.2595952273696</v>
      </c>
      <c r="M21" s="68">
        <v>33777.15191985984</v>
      </c>
      <c r="N21" s="68">
        <v>2574.0511349388989</v>
      </c>
      <c r="O21" s="68">
        <v>246.26144907502845</v>
      </c>
      <c r="P21" s="68">
        <v>15.224003632288966</v>
      </c>
      <c r="Q21" s="69">
        <v>134.72902421238186</v>
      </c>
      <c r="R21" s="69">
        <v>39.060448979217981</v>
      </c>
      <c r="S21" s="7">
        <v>2.1497332932699442</v>
      </c>
      <c r="T21" s="68">
        <v>369.85114860983532</v>
      </c>
      <c r="U21" s="68">
        <v>174.98526397439363</v>
      </c>
    </row>
    <row r="22" spans="1:21" x14ac:dyDescent="0.3">
      <c r="A22" s="166" t="s">
        <v>82</v>
      </c>
      <c r="B22" s="68">
        <v>0.20512920380461938</v>
      </c>
      <c r="C22" s="68">
        <v>1089.5915997084317</v>
      </c>
      <c r="D22" s="68">
        <v>4818.8839265238094</v>
      </c>
      <c r="E22" s="68">
        <v>0.10108585737845205</v>
      </c>
      <c r="F22" s="69">
        <v>1.3308021361682026E-2</v>
      </c>
      <c r="G22" s="69">
        <v>0.12701433124158615</v>
      </c>
      <c r="H22" s="69">
        <v>0.25914516023883216</v>
      </c>
      <c r="I22" s="68">
        <v>3.0203094982764998E-2</v>
      </c>
      <c r="J22" s="68">
        <v>0.3119627825386645</v>
      </c>
      <c r="K22" s="68">
        <v>55043.264423115616</v>
      </c>
      <c r="L22" s="68">
        <v>16796.516835614337</v>
      </c>
      <c r="M22" s="68">
        <v>31656.438416286648</v>
      </c>
      <c r="N22" s="68">
        <v>4761.782885761324</v>
      </c>
      <c r="O22" s="68">
        <v>2339.1480735981277</v>
      </c>
      <c r="P22" s="68">
        <v>447.2253496591253</v>
      </c>
      <c r="Q22" s="69">
        <v>154.6879939470443</v>
      </c>
      <c r="R22" s="69">
        <v>86.729239581206869</v>
      </c>
      <c r="S22" s="7">
        <v>1.8300205798931941</v>
      </c>
      <c r="T22" s="68">
        <v>142.27253239620839</v>
      </c>
      <c r="U22" s="68">
        <v>91.508938314474179</v>
      </c>
    </row>
    <row r="23" spans="1:21" x14ac:dyDescent="0.3">
      <c r="A23" s="166" t="s">
        <v>28</v>
      </c>
      <c r="B23" s="68">
        <v>0.43263464581620215</v>
      </c>
      <c r="C23" s="68">
        <v>1579.4468608353577</v>
      </c>
      <c r="D23" s="68">
        <v>9624.2355048201262</v>
      </c>
      <c r="E23" s="68">
        <v>5.95140169688484E-2</v>
      </c>
      <c r="F23" s="69">
        <v>1.8416301920250244E-2</v>
      </c>
      <c r="G23" s="69">
        <v>0.1235512738951306</v>
      </c>
      <c r="H23" s="69">
        <v>0.15637257638036972</v>
      </c>
      <c r="I23" s="68">
        <v>5.1474121081754302E-2</v>
      </c>
      <c r="J23" s="68">
        <v>0.28574387642280141</v>
      </c>
      <c r="K23" s="68">
        <v>64417.700332574925</v>
      </c>
      <c r="L23" s="68">
        <v>8802.0772283520855</v>
      </c>
      <c r="M23" s="68">
        <v>61120.91064140846</v>
      </c>
      <c r="N23" s="68">
        <v>6904.1688661417138</v>
      </c>
      <c r="O23" s="68">
        <v>188.70728056130702</v>
      </c>
      <c r="P23" s="68">
        <v>77.325412858446512</v>
      </c>
      <c r="Q23" s="69">
        <v>72.583164734953812</v>
      </c>
      <c r="R23" s="69">
        <v>16.898171752359897</v>
      </c>
      <c r="S23" s="7">
        <v>1.2847495211576889</v>
      </c>
      <c r="T23" s="68">
        <v>445.34001044785339</v>
      </c>
      <c r="U23" s="68">
        <v>209.43930867197878</v>
      </c>
    </row>
    <row r="24" spans="1:21" x14ac:dyDescent="0.3">
      <c r="A24" s="166" t="s">
        <v>83</v>
      </c>
      <c r="B24" s="68">
        <v>0.43785194084205659</v>
      </c>
      <c r="C24" s="68">
        <v>1538.9578651955876</v>
      </c>
      <c r="D24" s="68">
        <v>13118.519325623121</v>
      </c>
      <c r="E24" s="68">
        <v>7.4374974218230569E-2</v>
      </c>
      <c r="F24" s="69">
        <v>1.7641525613787349E-2</v>
      </c>
      <c r="G24" s="69">
        <v>4.2983287571452714E-2</v>
      </c>
      <c r="H24" s="69">
        <v>0.29422166907539837</v>
      </c>
      <c r="I24" s="68">
        <v>6.7659869490600724E-2</v>
      </c>
      <c r="J24" s="68">
        <v>0.39769688742319875</v>
      </c>
      <c r="K24" s="68">
        <v>79657.318176471119</v>
      </c>
      <c r="L24" s="68">
        <v>13948.897813733285</v>
      </c>
      <c r="M24" s="68">
        <v>84156.506937351951</v>
      </c>
      <c r="N24" s="68">
        <v>7343.9317476127017</v>
      </c>
      <c r="O24" s="68">
        <v>188.21746603333875</v>
      </c>
      <c r="P24" s="68">
        <v>45.273280193817151</v>
      </c>
      <c r="Q24" s="69">
        <v>221.10540195649486</v>
      </c>
      <c r="R24" s="69">
        <v>91.605694207839903</v>
      </c>
      <c r="S24" s="7">
        <v>2.9929762406901945</v>
      </c>
      <c r="T24" s="68">
        <v>574.37669203456244</v>
      </c>
      <c r="U24" s="68">
        <v>354.14187612483011</v>
      </c>
    </row>
    <row r="25" spans="1:21" x14ac:dyDescent="0.3">
      <c r="A25" s="166" t="s">
        <v>84</v>
      </c>
      <c r="B25" s="68">
        <v>0.45122770157690589</v>
      </c>
      <c r="C25" s="68">
        <v>1540.0653444097336</v>
      </c>
      <c r="D25" s="68">
        <v>14996.46722420484</v>
      </c>
      <c r="E25" s="68">
        <v>8.2015471937170931E-2</v>
      </c>
      <c r="F25" s="69">
        <v>1.0472543691384031E-2</v>
      </c>
      <c r="G25" s="69">
        <v>7.1338200110978037E-2</v>
      </c>
      <c r="H25" s="69">
        <v>0.24978611012521007</v>
      </c>
      <c r="I25" s="68">
        <v>4.8447979773547555E-2</v>
      </c>
      <c r="J25" s="68" t="s">
        <v>65</v>
      </c>
      <c r="K25" s="68">
        <v>112986.16240456018</v>
      </c>
      <c r="L25" s="68">
        <v>8959.3033097208172</v>
      </c>
      <c r="M25" s="68">
        <v>118464.68672768491</v>
      </c>
      <c r="N25" s="68">
        <v>4130.4285130653825</v>
      </c>
      <c r="O25" s="68">
        <v>39473.111333165376</v>
      </c>
      <c r="P25" s="68">
        <v>433.78531976127488</v>
      </c>
      <c r="Q25" s="69">
        <v>277.66902672687809</v>
      </c>
      <c r="R25" s="69">
        <v>133.6677925318921</v>
      </c>
      <c r="S25" s="7">
        <v>1.1123138167123465</v>
      </c>
      <c r="T25" s="68">
        <v>368.08825884760677</v>
      </c>
      <c r="U25" s="68">
        <v>207.71173015583</v>
      </c>
    </row>
    <row r="26" spans="1:21" x14ac:dyDescent="0.3">
      <c r="A26" s="166" t="s">
        <v>85</v>
      </c>
      <c r="B26" s="68">
        <v>0.20043465871250746</v>
      </c>
      <c r="C26" s="68">
        <v>1107.1285194038619</v>
      </c>
      <c r="D26" s="68">
        <v>7661.7998353502044</v>
      </c>
      <c r="E26" s="68">
        <v>8.9682176744641184E-2</v>
      </c>
      <c r="F26" s="69">
        <v>2.0060954125811836E-2</v>
      </c>
      <c r="G26" s="69">
        <v>7.7669836648223592E-2</v>
      </c>
      <c r="H26" s="69">
        <v>9.8492287569880266E-2</v>
      </c>
      <c r="I26" s="68">
        <v>2.1112612869697737E-2</v>
      </c>
      <c r="J26" s="68">
        <v>0.33344693663405878</v>
      </c>
      <c r="K26" s="68">
        <v>95569.701773045294</v>
      </c>
      <c r="L26" s="68">
        <v>10086.311301212774</v>
      </c>
      <c r="M26" s="68">
        <v>44565.984445922033</v>
      </c>
      <c r="N26" s="68">
        <v>2178.8549155388723</v>
      </c>
      <c r="O26" s="68">
        <v>16816.911870098618</v>
      </c>
      <c r="P26" s="68">
        <v>486.24875288542768</v>
      </c>
      <c r="Q26" s="69">
        <v>317.98848134938123</v>
      </c>
      <c r="R26" s="69">
        <v>142.52169507119976</v>
      </c>
      <c r="S26" s="7">
        <v>2.8260432414205643</v>
      </c>
      <c r="T26" s="68">
        <v>265.55674977708304</v>
      </c>
      <c r="U26" s="68">
        <v>189.23055167909979</v>
      </c>
    </row>
    <row r="27" spans="1:21" x14ac:dyDescent="0.3">
      <c r="A27" s="166" t="s">
        <v>86</v>
      </c>
      <c r="B27" s="68">
        <v>0.19828239259021022</v>
      </c>
      <c r="C27" s="68">
        <v>1067.8681746651475</v>
      </c>
      <c r="D27" s="68">
        <v>7412.9333915440448</v>
      </c>
      <c r="E27" s="68">
        <v>8.4402452939959224E-2</v>
      </c>
      <c r="F27" s="69">
        <v>2.7894336460774317E-2</v>
      </c>
      <c r="G27" s="69">
        <v>9.7399304982965354E-2</v>
      </c>
      <c r="H27" s="69">
        <v>0.15002767321400282</v>
      </c>
      <c r="I27" s="68">
        <v>1.8086168906657266E-2</v>
      </c>
      <c r="J27" s="68">
        <v>0.19993664458155244</v>
      </c>
      <c r="K27" s="68">
        <v>84271.327462561778</v>
      </c>
      <c r="L27" s="68">
        <v>23353.495008264992</v>
      </c>
      <c r="M27" s="68">
        <v>49993.383161273174</v>
      </c>
      <c r="N27" s="68">
        <v>8806.7850618557932</v>
      </c>
      <c r="O27" s="68">
        <v>1740.5060348888364</v>
      </c>
      <c r="P27" s="68">
        <v>919.55907205799144</v>
      </c>
      <c r="Q27" s="69">
        <v>166.76248300578357</v>
      </c>
      <c r="R27" s="69">
        <v>105.53235541779544</v>
      </c>
      <c r="S27" s="7">
        <v>0.79309305752638803</v>
      </c>
      <c r="T27" s="68">
        <v>88.598054284923933</v>
      </c>
      <c r="U27" s="68">
        <v>58.846989494817784</v>
      </c>
    </row>
    <row r="28" spans="1:21" x14ac:dyDescent="0.3">
      <c r="A28" s="166" t="s">
        <v>87</v>
      </c>
      <c r="B28" s="68">
        <v>0.46548545309375511</v>
      </c>
      <c r="C28" s="68">
        <v>1584.3486577548758</v>
      </c>
      <c r="D28" s="68">
        <v>7151.246443734909</v>
      </c>
      <c r="E28" s="68">
        <v>8.7504147151021977E-2</v>
      </c>
      <c r="F28" s="69">
        <v>1.5348090594510574E-2</v>
      </c>
      <c r="G28" s="69">
        <v>4.9685463594525109E-2</v>
      </c>
      <c r="H28" s="69">
        <v>0.17414912023224718</v>
      </c>
      <c r="I28" s="68">
        <v>5.6190879989231959E-2</v>
      </c>
      <c r="J28" s="68">
        <v>0.29606267135069259</v>
      </c>
      <c r="K28" s="68">
        <v>74493.556400467889</v>
      </c>
      <c r="L28" s="68">
        <v>15622.35945343666</v>
      </c>
      <c r="M28" s="68">
        <v>64475.689374190471</v>
      </c>
      <c r="N28" s="68">
        <v>5230.1673756026175</v>
      </c>
      <c r="O28" s="68">
        <v>397.07531552813305</v>
      </c>
      <c r="P28" s="68">
        <v>71.009259436590284</v>
      </c>
      <c r="Q28" s="69">
        <v>173.72442402452526</v>
      </c>
      <c r="R28" s="69">
        <v>77.521952554607211</v>
      </c>
      <c r="S28" s="7">
        <v>5.6813994486795796</v>
      </c>
      <c r="T28" s="68">
        <v>772.44387076205589</v>
      </c>
      <c r="U28" s="68">
        <v>607.3098332800505</v>
      </c>
    </row>
    <row r="29" spans="1:21" x14ac:dyDescent="0.3">
      <c r="A29" s="166" t="s">
        <v>88</v>
      </c>
      <c r="B29" s="68">
        <v>0.46792321308883378</v>
      </c>
      <c r="C29" s="68">
        <v>1477.0929263948281</v>
      </c>
      <c r="D29" s="68">
        <v>13691.167650458188</v>
      </c>
      <c r="E29" s="68">
        <v>7.1962538356044756E-2</v>
      </c>
      <c r="F29" s="69">
        <v>2.7362975552136262E-2</v>
      </c>
      <c r="G29" s="69">
        <v>0.10141899205986599</v>
      </c>
      <c r="H29" s="69">
        <v>0.27361468155686525</v>
      </c>
      <c r="I29" s="68">
        <v>2.02141207209415E-2</v>
      </c>
      <c r="J29" s="173"/>
      <c r="K29" s="68">
        <v>98189.220860870802</v>
      </c>
      <c r="L29" s="68">
        <v>20366.449916912559</v>
      </c>
      <c r="M29" s="68">
        <v>137242.16054792239</v>
      </c>
      <c r="N29" s="68">
        <v>11810.666644880419</v>
      </c>
      <c r="O29" s="68">
        <v>19435.30746687538</v>
      </c>
      <c r="P29" s="68">
        <v>3352.2883600629084</v>
      </c>
      <c r="Q29" s="69">
        <v>346.13338839179994</v>
      </c>
      <c r="R29" s="69">
        <v>71.427507094925573</v>
      </c>
      <c r="S29" s="7">
        <v>0.98364474087481724</v>
      </c>
      <c r="T29" s="68">
        <v>62.773392182899201</v>
      </c>
      <c r="U29" s="68">
        <v>33.134158827172868</v>
      </c>
    </row>
    <row r="30" spans="1:21" x14ac:dyDescent="0.3">
      <c r="A30" s="166" t="s">
        <v>89</v>
      </c>
      <c r="B30" s="68">
        <v>0.20793645646766667</v>
      </c>
      <c r="C30" s="68">
        <v>1120.9667646993428</v>
      </c>
      <c r="D30" s="68">
        <v>2985.2112994259737</v>
      </c>
      <c r="E30" s="68">
        <v>0.11424240077061186</v>
      </c>
      <c r="F30" s="69">
        <v>9.1902973812578986E-3</v>
      </c>
      <c r="G30" s="69">
        <v>6.1635013140109066E-2</v>
      </c>
      <c r="H30" s="69">
        <v>0.14820100249622162</v>
      </c>
      <c r="I30" s="68">
        <v>7.0402604644188762E-3</v>
      </c>
      <c r="J30" s="68">
        <v>0.20738145197561689</v>
      </c>
      <c r="K30" s="68">
        <v>31075.483352759838</v>
      </c>
      <c r="L30" s="68">
        <v>7387.3941575120043</v>
      </c>
      <c r="M30" s="68">
        <v>14130.054437352117</v>
      </c>
      <c r="N30" s="68">
        <v>1311.1761920249344</v>
      </c>
      <c r="O30" s="68">
        <v>531.43307352457714</v>
      </c>
      <c r="P30" s="68">
        <v>252.75329085726003</v>
      </c>
      <c r="Q30" s="69">
        <v>128.55499001036881</v>
      </c>
      <c r="R30" s="69">
        <v>47.726907726219189</v>
      </c>
      <c r="S30" s="7">
        <v>2.1223774970415921</v>
      </c>
      <c r="T30" s="68">
        <v>147.31789445183233</v>
      </c>
      <c r="U30" s="68">
        <v>101.99480139117811</v>
      </c>
    </row>
    <row r="31" spans="1:21" x14ac:dyDescent="0.3">
      <c r="A31" s="166" t="s">
        <v>90</v>
      </c>
      <c r="B31" s="68">
        <v>0.42763306341589841</v>
      </c>
      <c r="C31" s="68">
        <v>1506.4383974170255</v>
      </c>
      <c r="D31" s="68">
        <v>7779.0987949738883</v>
      </c>
      <c r="E31" s="68">
        <v>8.7014362383486143E-2</v>
      </c>
      <c r="F31" s="69">
        <v>3.998974304039786E-2</v>
      </c>
      <c r="G31" s="69">
        <v>7.5454424130104392E-2</v>
      </c>
      <c r="H31" s="69">
        <v>0.23560685038601611</v>
      </c>
      <c r="I31" s="68">
        <v>3.1761723017606151E-2</v>
      </c>
      <c r="J31" s="68">
        <v>0.33408041360549118</v>
      </c>
      <c r="K31" s="68">
        <v>119829.18142069246</v>
      </c>
      <c r="L31" s="68">
        <v>11873.643495995613</v>
      </c>
      <c r="M31" s="68">
        <v>63365.980453142794</v>
      </c>
      <c r="N31" s="68">
        <v>3067.2455238920538</v>
      </c>
      <c r="O31" s="68">
        <v>26369.847535152294</v>
      </c>
      <c r="P31" s="68">
        <v>1668.7044776904081</v>
      </c>
      <c r="Q31" s="69">
        <v>110.73371560327887</v>
      </c>
      <c r="R31" s="69">
        <v>60.622461502239581</v>
      </c>
      <c r="S31" s="7">
        <v>1.0760615584139701</v>
      </c>
      <c r="T31" s="68">
        <v>195.81104862167564</v>
      </c>
      <c r="U31" s="68">
        <v>117.81009875079803</v>
      </c>
    </row>
    <row r="32" spans="1:21" x14ac:dyDescent="0.3">
      <c r="A32" s="166" t="s">
        <v>91</v>
      </c>
      <c r="B32" s="68">
        <v>0.19146211096505816</v>
      </c>
      <c r="C32" s="68">
        <v>1026.8000847345529</v>
      </c>
      <c r="D32" s="68">
        <v>8101.4412057332684</v>
      </c>
      <c r="E32" s="68">
        <v>7.0839547089603133E-2</v>
      </c>
      <c r="F32" s="69">
        <v>1.3213223078580338E-2</v>
      </c>
      <c r="G32" s="69">
        <v>9.6960272212582577E-2</v>
      </c>
      <c r="H32" s="69">
        <v>0.14762608469324243</v>
      </c>
      <c r="I32" s="68">
        <v>1.5356783393655869E-2</v>
      </c>
      <c r="J32" s="68">
        <v>0.32146497601859886</v>
      </c>
      <c r="K32" s="68">
        <v>128177.71867014685</v>
      </c>
      <c r="L32" s="68">
        <v>33069.207376345366</v>
      </c>
      <c r="M32" s="68">
        <v>56169.407767395685</v>
      </c>
      <c r="N32" s="68">
        <v>6911.1165249423875</v>
      </c>
      <c r="O32" s="68">
        <v>19126.333308510424</v>
      </c>
      <c r="P32" s="68">
        <v>1467.8287851768835</v>
      </c>
      <c r="Q32" s="69">
        <v>218.43261380029105</v>
      </c>
      <c r="R32" s="69">
        <v>144.15006643223444</v>
      </c>
      <c r="S32" s="7">
        <v>0.69368379641711164</v>
      </c>
      <c r="T32" s="68">
        <v>17.434622600028373</v>
      </c>
      <c r="U32" s="68">
        <v>10.599025456092354</v>
      </c>
    </row>
    <row r="33" spans="1:21" x14ac:dyDescent="0.3">
      <c r="A33" s="166" t="s">
        <v>92</v>
      </c>
      <c r="B33" s="68">
        <v>0.46743158167887983</v>
      </c>
      <c r="C33" s="68">
        <v>1527.643155211239</v>
      </c>
      <c r="D33" s="68">
        <v>6730.2161755300667</v>
      </c>
      <c r="E33" s="68">
        <v>6.4718186807462469E-2</v>
      </c>
      <c r="F33" s="69">
        <v>4.8847726996480594E-2</v>
      </c>
      <c r="G33" s="69">
        <v>7.6600756666012043E-2</v>
      </c>
      <c r="H33" s="69">
        <v>0.20323529135525553</v>
      </c>
      <c r="I33" s="68">
        <v>2.362362242920487E-2</v>
      </c>
      <c r="J33" s="68">
        <v>0.22268763185417395</v>
      </c>
      <c r="K33" s="68">
        <v>78538.147078407812</v>
      </c>
      <c r="L33" s="68">
        <v>26163.262784657381</v>
      </c>
      <c r="M33" s="68">
        <v>57920.998596171819</v>
      </c>
      <c r="N33" s="68">
        <v>7760.1376616265507</v>
      </c>
      <c r="O33" s="68">
        <v>6699.0479365288775</v>
      </c>
      <c r="P33" s="68">
        <v>1605.487442384672</v>
      </c>
      <c r="Q33" s="69">
        <v>120.23581026913766</v>
      </c>
      <c r="R33" s="69">
        <v>43.175849910904347</v>
      </c>
      <c r="S33" s="7">
        <v>0.99234676966958157</v>
      </c>
      <c r="T33" s="68">
        <v>163.83943671668527</v>
      </c>
      <c r="U33" s="68">
        <v>108.36699978916916</v>
      </c>
    </row>
    <row r="34" spans="1:21" x14ac:dyDescent="0.3">
      <c r="A34" s="166" t="s">
        <v>93</v>
      </c>
      <c r="B34" s="68">
        <v>0.20198356759669092</v>
      </c>
      <c r="C34" s="68">
        <v>1083.3944698314751</v>
      </c>
      <c r="D34" s="68">
        <v>10076.963024612111</v>
      </c>
      <c r="E34" s="68">
        <v>9.1015735762656355E-2</v>
      </c>
      <c r="F34" s="69">
        <v>1.0286458925041804E-2</v>
      </c>
      <c r="G34" s="69">
        <v>4.3664593135986633E-2</v>
      </c>
      <c r="H34" s="69">
        <v>0.11258894523844037</v>
      </c>
      <c r="I34" s="68">
        <v>1.4783785134278658E-2</v>
      </c>
      <c r="J34" s="68">
        <v>0</v>
      </c>
      <c r="K34" s="68">
        <v>155263.31248319233</v>
      </c>
      <c r="L34" s="68">
        <v>37998.459430133713</v>
      </c>
      <c r="M34" s="68">
        <v>63476.053609370334</v>
      </c>
      <c r="N34" s="68">
        <v>3777.4223476481311</v>
      </c>
      <c r="O34" s="68">
        <v>22540.419761141427</v>
      </c>
      <c r="P34" s="68">
        <v>1190.1978835399718</v>
      </c>
      <c r="Q34" s="69">
        <v>721.5514280368111</v>
      </c>
      <c r="R34" s="69">
        <v>342.48010378739815</v>
      </c>
      <c r="S34" s="7">
        <v>0.73610178081109168</v>
      </c>
      <c r="T34" s="68">
        <v>116.76045835689946</v>
      </c>
      <c r="U34" s="68">
        <v>68.993852133285159</v>
      </c>
    </row>
    <row r="35" spans="1:21" x14ac:dyDescent="0.3">
      <c r="A35" s="166" t="s">
        <v>94</v>
      </c>
      <c r="B35" s="68">
        <v>0.14930081215524948</v>
      </c>
      <c r="C35" s="68">
        <v>767.14322992580833</v>
      </c>
      <c r="D35" s="68">
        <v>937.57932975501853</v>
      </c>
      <c r="E35" s="68">
        <v>8.9105128507279613E-2</v>
      </c>
      <c r="F35" s="69">
        <v>2.8915046189429652E-2</v>
      </c>
      <c r="G35" s="69">
        <v>5.6893766599115665E-2</v>
      </c>
      <c r="H35" s="69">
        <v>0.18031801170622067</v>
      </c>
      <c r="I35" s="68">
        <v>3.4004021357759585E-3</v>
      </c>
      <c r="J35" s="68">
        <v>0.32699121416354004</v>
      </c>
      <c r="K35" s="68">
        <v>32823.257289187168</v>
      </c>
      <c r="L35" s="68">
        <v>5403.7532034488622</v>
      </c>
      <c r="M35" s="68">
        <v>5756.3499334227363</v>
      </c>
      <c r="N35" s="68">
        <v>171.93413402521489</v>
      </c>
      <c r="O35" s="68">
        <v>713.97137970710355</v>
      </c>
      <c r="P35" s="68">
        <v>2.1176931750465275</v>
      </c>
      <c r="Q35" s="69">
        <v>0</v>
      </c>
      <c r="R35" s="69">
        <v>0</v>
      </c>
      <c r="S35" s="7">
        <v>0.43266788646343857</v>
      </c>
      <c r="T35" s="68">
        <v>38.561659687605299</v>
      </c>
      <c r="U35" s="68">
        <v>31.361788576254057</v>
      </c>
    </row>
    <row r="36" spans="1:21" x14ac:dyDescent="0.3">
      <c r="A36" s="166" t="s">
        <v>95</v>
      </c>
      <c r="B36" s="68">
        <v>0.19560339953692105</v>
      </c>
      <c r="C36" s="68">
        <v>1046.6706992138597</v>
      </c>
      <c r="D36" s="68">
        <v>7018.6453746480965</v>
      </c>
      <c r="E36" s="68">
        <v>7.9938868393827051E-2</v>
      </c>
      <c r="F36" s="69">
        <v>2.3797686230161624E-2</v>
      </c>
      <c r="G36" s="69">
        <v>0.12087383505219532</v>
      </c>
      <c r="H36" s="69">
        <v>0.22878779425237997</v>
      </c>
      <c r="I36" s="68">
        <v>1.4218245389926151E-2</v>
      </c>
      <c r="J36" s="68">
        <v>0.25139369018234708</v>
      </c>
      <c r="K36" s="68">
        <v>98927.00681310278</v>
      </c>
      <c r="L36" s="68">
        <v>17267.567306363107</v>
      </c>
      <c r="M36" s="68">
        <v>49749.572214732187</v>
      </c>
      <c r="N36" s="68">
        <v>6327.4143874367473</v>
      </c>
      <c r="O36" s="68">
        <v>420.50940749900008</v>
      </c>
      <c r="P36" s="68">
        <v>152.39958426723078</v>
      </c>
      <c r="Q36" s="69">
        <v>247.65485566344645</v>
      </c>
      <c r="R36" s="69">
        <v>151.81266242618725</v>
      </c>
      <c r="S36" s="7">
        <v>2.2404192328862016</v>
      </c>
      <c r="T36" s="68">
        <v>264.23321705181621</v>
      </c>
      <c r="U36" s="68">
        <v>139.60618100760445</v>
      </c>
    </row>
    <row r="37" spans="1:21" x14ac:dyDescent="0.3">
      <c r="A37" s="166" t="s">
        <v>96</v>
      </c>
      <c r="B37" s="68">
        <v>0.1494722015820468</v>
      </c>
      <c r="C37" s="68">
        <v>744.21991299828346</v>
      </c>
      <c r="D37" s="68">
        <v>1443.7562645391799</v>
      </c>
      <c r="E37" s="68">
        <v>6.024058438806635E-2</v>
      </c>
      <c r="F37" s="69">
        <v>3.8590999371214345E-2</v>
      </c>
      <c r="G37" s="69">
        <v>5.1086202308241061E-4</v>
      </c>
      <c r="H37" s="69">
        <v>0.15987406312972099</v>
      </c>
      <c r="I37" s="68">
        <v>1.3100158267555425E-2</v>
      </c>
      <c r="J37" s="68">
        <v>0.36050063986723524</v>
      </c>
      <c r="K37" s="68">
        <v>45299.841772986423</v>
      </c>
      <c r="L37" s="68">
        <v>15135.548239733649</v>
      </c>
      <c r="M37" s="68">
        <v>7437.0521511753595</v>
      </c>
      <c r="N37" s="68">
        <v>1503.0352447086987</v>
      </c>
      <c r="O37" s="68">
        <v>3694.1880619760591</v>
      </c>
      <c r="P37" s="68">
        <v>397.40253176537368</v>
      </c>
      <c r="Q37" s="69">
        <v>34.36616511003281</v>
      </c>
      <c r="R37" s="69">
        <v>23.066247454078262</v>
      </c>
      <c r="S37" s="7" t="s">
        <v>65</v>
      </c>
      <c r="T37" s="68" t="s">
        <v>65</v>
      </c>
      <c r="U37" s="68" t="s">
        <v>65</v>
      </c>
    </row>
    <row r="38" spans="1:21" x14ac:dyDescent="0.3">
      <c r="A38" s="166" t="s">
        <v>97</v>
      </c>
      <c r="B38" s="68">
        <v>0.46503049816055836</v>
      </c>
      <c r="C38" s="68">
        <v>1476.1021500887864</v>
      </c>
      <c r="D38" s="68">
        <v>16667.597709999853</v>
      </c>
      <c r="E38" s="68">
        <v>7.391625602514873E-2</v>
      </c>
      <c r="F38" s="69">
        <v>1.9987570555685875E-2</v>
      </c>
      <c r="G38" s="69">
        <v>0.12140663131931603</v>
      </c>
      <c r="H38" s="69">
        <v>0.29518270170808852</v>
      </c>
      <c r="I38" s="68">
        <v>2.8725581353840443E-2</v>
      </c>
      <c r="J38" s="68">
        <v>0.34628541040012822</v>
      </c>
      <c r="K38" s="68">
        <v>179034.03277100634</v>
      </c>
      <c r="L38" s="68">
        <v>31682.21188316671</v>
      </c>
      <c r="M38" s="68">
        <v>148288.37601287768</v>
      </c>
      <c r="N38" s="68">
        <v>13562.442801231638</v>
      </c>
      <c r="O38" s="68">
        <v>1745.7909185894623</v>
      </c>
      <c r="P38" s="68">
        <v>159.70002866654309</v>
      </c>
      <c r="Q38" s="69">
        <v>373.85537442078197</v>
      </c>
      <c r="R38" s="69">
        <v>146.5543246975808</v>
      </c>
      <c r="S38" s="7">
        <v>1.5543380589129157</v>
      </c>
      <c r="T38" s="68">
        <v>404.36290176052881</v>
      </c>
      <c r="U38" s="68">
        <v>277.40407277245487</v>
      </c>
    </row>
  </sheetData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2E001-DC87-4482-92C5-D6C9DF7666B7}">
  <sheetPr codeName="XLSTAT_20230403_150129_1"/>
  <dimension ref="B1:U409"/>
  <sheetViews>
    <sheetView topLeftCell="A205" zoomScale="113" zoomScaleNormal="100" workbookViewId="0">
      <selection activeCell="N219" sqref="N219"/>
    </sheetView>
  </sheetViews>
  <sheetFormatPr defaultColWidth="8.8984375" defaultRowHeight="15.6" x14ac:dyDescent="0.3"/>
  <cols>
    <col min="1" max="1" width="4.8984375" customWidth="1"/>
    <col min="2" max="2" width="33.09765625" customWidth="1"/>
    <col min="7" max="7" width="10.3984375" bestFit="1" customWidth="1"/>
    <col min="8" max="9" width="9.3984375" bestFit="1" customWidth="1"/>
  </cols>
  <sheetData>
    <row r="1" spans="2:13" x14ac:dyDescent="0.3">
      <c r="B1" s="215" t="s">
        <v>98</v>
      </c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71"/>
    </row>
    <row r="2" spans="2:13" x14ac:dyDescent="0.3"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71"/>
    </row>
    <row r="3" spans="2:13" x14ac:dyDescent="0.3">
      <c r="B3" t="s">
        <v>99</v>
      </c>
    </row>
    <row r="4" spans="2:13" x14ac:dyDescent="0.3">
      <c r="B4" t="s">
        <v>100</v>
      </c>
    </row>
    <row r="5" spans="2:13" x14ac:dyDescent="0.3">
      <c r="B5" t="s">
        <v>101</v>
      </c>
    </row>
    <row r="6" spans="2:13" x14ac:dyDescent="0.3">
      <c r="B6" t="s">
        <v>102</v>
      </c>
    </row>
    <row r="7" spans="2:13" x14ac:dyDescent="0.3">
      <c r="B7" t="s">
        <v>103</v>
      </c>
    </row>
    <row r="8" spans="2:13" x14ac:dyDescent="0.3">
      <c r="B8" t="s">
        <v>104</v>
      </c>
    </row>
    <row r="9" spans="2:13" x14ac:dyDescent="0.3">
      <c r="B9" t="s">
        <v>105</v>
      </c>
    </row>
    <row r="10" spans="2:13" ht="38.1" customHeight="1" x14ac:dyDescent="0.3"/>
    <row r="11" spans="2:13" ht="16.5" customHeight="1" x14ac:dyDescent="0.3">
      <c r="B11" s="96"/>
    </row>
    <row r="14" spans="2:13" x14ac:dyDescent="0.3">
      <c r="B14" t="s">
        <v>106</v>
      </c>
    </row>
    <row r="17" spans="2:9" x14ac:dyDescent="0.3">
      <c r="B17" t="s">
        <v>107</v>
      </c>
    </row>
    <row r="18" spans="2:9" ht="16.2" thickBot="1" x14ac:dyDescent="0.35"/>
    <row r="19" spans="2:9" ht="31.5" customHeight="1" x14ac:dyDescent="0.3">
      <c r="B19" s="74" t="s">
        <v>108</v>
      </c>
      <c r="C19" s="75" t="s">
        <v>109</v>
      </c>
      <c r="D19" s="75" t="s">
        <v>110</v>
      </c>
      <c r="E19" s="75" t="s">
        <v>111</v>
      </c>
      <c r="F19" s="75" t="s">
        <v>112</v>
      </c>
      <c r="G19" s="75" t="s">
        <v>113</v>
      </c>
      <c r="H19" s="75" t="s">
        <v>114</v>
      </c>
      <c r="I19" s="75" t="s">
        <v>115</v>
      </c>
    </row>
    <row r="20" spans="2:9" x14ac:dyDescent="0.3">
      <c r="B20" s="76" t="s">
        <v>44</v>
      </c>
      <c r="C20" s="78">
        <v>32</v>
      </c>
      <c r="D20" s="78">
        <v>0</v>
      </c>
      <c r="E20" s="78">
        <v>32</v>
      </c>
      <c r="F20" s="81">
        <v>754.65669392675534</v>
      </c>
      <c r="G20" s="81">
        <v>1584.3486577548758</v>
      </c>
      <c r="H20" s="81">
        <v>1289.1585330879541</v>
      </c>
      <c r="I20" s="81">
        <v>278.36668808257986</v>
      </c>
    </row>
    <row r="21" spans="2:9" x14ac:dyDescent="0.3">
      <c r="B21" s="73" t="s">
        <v>42</v>
      </c>
      <c r="C21" s="79">
        <v>32</v>
      </c>
      <c r="D21" s="79">
        <v>0</v>
      </c>
      <c r="E21" s="79">
        <v>32</v>
      </c>
      <c r="F21" s="82">
        <v>46.714592059130531</v>
      </c>
      <c r="G21" s="82">
        <v>16667.597709999853</v>
      </c>
      <c r="H21" s="82">
        <v>7630.5682781251908</v>
      </c>
      <c r="I21" s="82">
        <v>4161.9106620602079</v>
      </c>
    </row>
    <row r="22" spans="2:9" x14ac:dyDescent="0.3">
      <c r="B22" s="73" t="s">
        <v>48</v>
      </c>
      <c r="C22" s="79">
        <v>32</v>
      </c>
      <c r="D22" s="79">
        <v>0</v>
      </c>
      <c r="E22" s="79">
        <v>32</v>
      </c>
      <c r="F22" s="82">
        <v>2.0714460110426327E-3</v>
      </c>
      <c r="G22" s="82">
        <v>0.11424240077061186</v>
      </c>
      <c r="H22" s="82">
        <v>7.7143795411099336E-2</v>
      </c>
      <c r="I22" s="82">
        <v>1.8549328699470697E-2</v>
      </c>
    </row>
    <row r="23" spans="2:9" x14ac:dyDescent="0.3">
      <c r="B23" s="73" t="s">
        <v>49</v>
      </c>
      <c r="C23" s="79">
        <v>32</v>
      </c>
      <c r="D23" s="79">
        <v>0</v>
      </c>
      <c r="E23" s="79">
        <v>32</v>
      </c>
      <c r="F23" s="82">
        <v>0</v>
      </c>
      <c r="G23" s="82">
        <v>4.8847726996480594E-2</v>
      </c>
      <c r="H23" s="82">
        <v>1.9494562878563146E-2</v>
      </c>
      <c r="I23" s="82">
        <v>1.1176076683677339E-2</v>
      </c>
    </row>
    <row r="24" spans="2:9" x14ac:dyDescent="0.3">
      <c r="B24" s="73" t="s">
        <v>116</v>
      </c>
      <c r="C24" s="79">
        <v>32</v>
      </c>
      <c r="D24" s="79">
        <v>0</v>
      </c>
      <c r="E24" s="79">
        <v>32</v>
      </c>
      <c r="F24" s="82">
        <v>0</v>
      </c>
      <c r="G24" s="82">
        <v>0.17793555103909178</v>
      </c>
      <c r="H24" s="82">
        <v>8.1662616119419357E-2</v>
      </c>
      <c r="I24" s="82">
        <v>3.9747631377039627E-2</v>
      </c>
    </row>
    <row r="25" spans="2:9" x14ac:dyDescent="0.3">
      <c r="B25" s="73" t="s">
        <v>51</v>
      </c>
      <c r="C25" s="79">
        <v>32</v>
      </c>
      <c r="D25" s="79">
        <v>0</v>
      </c>
      <c r="E25" s="79">
        <v>32</v>
      </c>
      <c r="F25" s="82">
        <v>9.8492287569880266E-2</v>
      </c>
      <c r="G25" s="82">
        <v>0.35088708988640227</v>
      </c>
      <c r="H25" s="82">
        <v>0.20556193985622379</v>
      </c>
      <c r="I25" s="82">
        <v>6.589990578160268E-2</v>
      </c>
    </row>
    <row r="26" spans="2:9" x14ac:dyDescent="0.3">
      <c r="B26" s="73" t="s">
        <v>52</v>
      </c>
      <c r="C26" s="79">
        <v>32</v>
      </c>
      <c r="D26" s="79">
        <v>0</v>
      </c>
      <c r="E26" s="79">
        <v>32</v>
      </c>
      <c r="F26" s="82">
        <v>0</v>
      </c>
      <c r="G26" s="82">
        <v>6.9993292381362815E-2</v>
      </c>
      <c r="H26" s="82">
        <v>2.5515735197361489E-2</v>
      </c>
      <c r="I26" s="82">
        <v>1.7943416061529684E-2</v>
      </c>
    </row>
    <row r="27" spans="2:9" x14ac:dyDescent="0.3">
      <c r="B27" s="73" t="s">
        <v>53</v>
      </c>
      <c r="C27" s="79">
        <v>32</v>
      </c>
      <c r="D27" s="79">
        <v>0</v>
      </c>
      <c r="E27" s="79">
        <v>32</v>
      </c>
      <c r="F27" s="82">
        <v>0</v>
      </c>
      <c r="G27" s="82">
        <v>1.084806635682767</v>
      </c>
      <c r="H27" s="82">
        <v>0.31000725650189614</v>
      </c>
      <c r="I27" s="82">
        <v>0.20750519517955532</v>
      </c>
    </row>
    <row r="28" spans="2:9" x14ac:dyDescent="0.3">
      <c r="B28" s="73" t="s">
        <v>54</v>
      </c>
      <c r="C28" s="79">
        <v>32</v>
      </c>
      <c r="D28" s="79">
        <v>0</v>
      </c>
      <c r="E28" s="79">
        <v>32</v>
      </c>
      <c r="F28" s="82">
        <v>1207.3246711779541</v>
      </c>
      <c r="G28" s="82">
        <v>179034.03277100634</v>
      </c>
      <c r="H28" s="82">
        <v>80739.257704716481</v>
      </c>
      <c r="I28" s="82">
        <v>43162.831954766749</v>
      </c>
    </row>
    <row r="29" spans="2:9" x14ac:dyDescent="0.3">
      <c r="B29" s="73" t="s">
        <v>55</v>
      </c>
      <c r="C29" s="79">
        <v>32</v>
      </c>
      <c r="D29" s="79">
        <v>0</v>
      </c>
      <c r="E29" s="79">
        <v>32</v>
      </c>
      <c r="F29" s="82">
        <v>0</v>
      </c>
      <c r="G29" s="82">
        <v>37998.459430133713</v>
      </c>
      <c r="H29" s="82">
        <v>14869.241531129661</v>
      </c>
      <c r="I29" s="82">
        <v>9874.0554510419715</v>
      </c>
    </row>
    <row r="30" spans="2:9" x14ac:dyDescent="0.3">
      <c r="B30" s="73" t="s">
        <v>45</v>
      </c>
      <c r="C30" s="79">
        <v>32</v>
      </c>
      <c r="D30" s="79">
        <v>0</v>
      </c>
      <c r="E30" s="79">
        <v>32</v>
      </c>
      <c r="F30" s="82">
        <v>769.24966752148782</v>
      </c>
      <c r="G30" s="82">
        <v>148288.37601287768</v>
      </c>
      <c r="H30" s="82">
        <v>57627.652567161342</v>
      </c>
      <c r="I30" s="82">
        <v>38179.591365221233</v>
      </c>
    </row>
    <row r="31" spans="2:9" x14ac:dyDescent="0.3">
      <c r="B31" s="73" t="s">
        <v>56</v>
      </c>
      <c r="C31" s="79">
        <v>32</v>
      </c>
      <c r="D31" s="79">
        <v>0</v>
      </c>
      <c r="E31" s="79">
        <v>32</v>
      </c>
      <c r="F31" s="82">
        <v>89.077413869729682</v>
      </c>
      <c r="G31" s="82">
        <v>13562.442801231638</v>
      </c>
      <c r="H31" s="82">
        <v>4954.5185001922073</v>
      </c>
      <c r="I31" s="82">
        <v>3786.860043246018</v>
      </c>
    </row>
    <row r="32" spans="2:9" x14ac:dyDescent="0.3">
      <c r="B32" s="73" t="s">
        <v>57</v>
      </c>
      <c r="C32" s="79">
        <v>32</v>
      </c>
      <c r="D32" s="79">
        <v>0</v>
      </c>
      <c r="E32" s="79">
        <v>32</v>
      </c>
      <c r="F32" s="82">
        <v>100.42512595675093</v>
      </c>
      <c r="G32" s="82">
        <v>34490.292858833578</v>
      </c>
      <c r="H32" s="82">
        <v>7464.9307850905425</v>
      </c>
      <c r="I32" s="82">
        <v>9756.2141469698563</v>
      </c>
    </row>
    <row r="33" spans="2:21" x14ac:dyDescent="0.3">
      <c r="B33" s="73" t="s">
        <v>58</v>
      </c>
      <c r="C33" s="79">
        <v>32</v>
      </c>
      <c r="D33" s="79">
        <v>0</v>
      </c>
      <c r="E33" s="79">
        <v>32</v>
      </c>
      <c r="F33" s="82">
        <v>0</v>
      </c>
      <c r="G33" s="82">
        <v>3352.2883600629084</v>
      </c>
      <c r="H33" s="82">
        <v>609.32465825469637</v>
      </c>
      <c r="I33" s="82">
        <v>754.60420092487357</v>
      </c>
    </row>
    <row r="34" spans="2:21" x14ac:dyDescent="0.3">
      <c r="B34" s="73" t="s">
        <v>43</v>
      </c>
      <c r="C34" s="79">
        <v>32</v>
      </c>
      <c r="D34" s="79">
        <v>0</v>
      </c>
      <c r="E34" s="79">
        <v>32</v>
      </c>
      <c r="F34" s="82">
        <v>0</v>
      </c>
      <c r="G34" s="82">
        <v>721.5514280368111</v>
      </c>
      <c r="H34" s="82">
        <v>190.89997807341123</v>
      </c>
      <c r="I34" s="82">
        <v>149.60555487412299</v>
      </c>
    </row>
    <row r="35" spans="2:21" x14ac:dyDescent="0.3">
      <c r="B35" s="73" t="s">
        <v>59</v>
      </c>
      <c r="C35" s="79">
        <v>32</v>
      </c>
      <c r="D35" s="79">
        <v>0</v>
      </c>
      <c r="E35" s="79">
        <v>32</v>
      </c>
      <c r="F35" s="82">
        <v>0</v>
      </c>
      <c r="G35" s="82">
        <v>342.48010378739815</v>
      </c>
      <c r="H35" s="82">
        <v>85.953281529947475</v>
      </c>
      <c r="I35" s="82">
        <v>73.20384117010093</v>
      </c>
    </row>
    <row r="36" spans="2:21" x14ac:dyDescent="0.3">
      <c r="B36" s="73" t="s">
        <v>60</v>
      </c>
      <c r="C36" s="79">
        <v>32</v>
      </c>
      <c r="D36" s="79">
        <v>0</v>
      </c>
      <c r="E36" s="79">
        <v>32</v>
      </c>
      <c r="F36" s="82">
        <v>0.30125194370236108</v>
      </c>
      <c r="G36" s="82">
        <v>5.6813994486795796</v>
      </c>
      <c r="H36" s="82">
        <v>1.7169767274738987</v>
      </c>
      <c r="I36" s="82">
        <v>1.1621086041708117</v>
      </c>
    </row>
    <row r="37" spans="2:21" x14ac:dyDescent="0.3">
      <c r="B37" s="73" t="s">
        <v>61</v>
      </c>
      <c r="C37" s="79">
        <v>32</v>
      </c>
      <c r="D37" s="79">
        <v>0</v>
      </c>
      <c r="E37" s="79">
        <v>32</v>
      </c>
      <c r="F37" s="82">
        <v>8.3803836744167075</v>
      </c>
      <c r="G37" s="82">
        <v>1094.4688107678758</v>
      </c>
      <c r="H37" s="82">
        <v>248.3400556784685</v>
      </c>
      <c r="I37" s="82">
        <v>230.614825905315</v>
      </c>
    </row>
    <row r="38" spans="2:21" ht="16.2" thickBot="1" x14ac:dyDescent="0.35">
      <c r="B38" s="77" t="s">
        <v>62</v>
      </c>
      <c r="C38" s="80">
        <v>32</v>
      </c>
      <c r="D38" s="80">
        <v>0</v>
      </c>
      <c r="E38" s="80">
        <v>32</v>
      </c>
      <c r="F38" s="83">
        <v>2.165655068213006</v>
      </c>
      <c r="G38" s="83">
        <v>755.68446898847117</v>
      </c>
      <c r="H38" s="83">
        <v>155.68177712205764</v>
      </c>
      <c r="I38" s="83">
        <v>163.05835213323954</v>
      </c>
    </row>
    <row r="41" spans="2:21" x14ac:dyDescent="0.3">
      <c r="B41" t="s">
        <v>117</v>
      </c>
    </row>
    <row r="42" spans="2:21" ht="16.2" thickBot="1" x14ac:dyDescent="0.35"/>
    <row r="43" spans="2:21" ht="93.6" x14ac:dyDescent="0.3">
      <c r="B43" s="74" t="s">
        <v>118</v>
      </c>
      <c r="C43" s="75" t="s">
        <v>44</v>
      </c>
      <c r="D43" s="75" t="s">
        <v>42</v>
      </c>
      <c r="E43" s="75" t="s">
        <v>48</v>
      </c>
      <c r="F43" s="75" t="s">
        <v>49</v>
      </c>
      <c r="G43" s="75" t="s">
        <v>116</v>
      </c>
      <c r="H43" s="75" t="s">
        <v>51</v>
      </c>
      <c r="I43" s="75" t="s">
        <v>52</v>
      </c>
      <c r="J43" s="75" t="s">
        <v>53</v>
      </c>
      <c r="K43" s="75" t="s">
        <v>54</v>
      </c>
      <c r="L43" s="75" t="s">
        <v>55</v>
      </c>
      <c r="M43" s="75" t="s">
        <v>45</v>
      </c>
      <c r="N43" s="75" t="s">
        <v>56</v>
      </c>
      <c r="O43" s="75" t="s">
        <v>57</v>
      </c>
      <c r="P43" s="75" t="s">
        <v>58</v>
      </c>
      <c r="Q43" s="75" t="s">
        <v>43</v>
      </c>
      <c r="R43" s="75" t="s">
        <v>59</v>
      </c>
      <c r="S43" s="75" t="s">
        <v>60</v>
      </c>
      <c r="T43" s="75" t="s">
        <v>61</v>
      </c>
      <c r="U43" s="75" t="s">
        <v>62</v>
      </c>
    </row>
    <row r="44" spans="2:21" x14ac:dyDescent="0.3">
      <c r="B44" s="84" t="s">
        <v>44</v>
      </c>
      <c r="C44" s="90">
        <v>1</v>
      </c>
      <c r="D44" s="89">
        <v>0.59077331542448275</v>
      </c>
      <c r="E44" s="86">
        <v>-0.26423336926818242</v>
      </c>
      <c r="F44" s="86">
        <v>8.8996309922636943E-4</v>
      </c>
      <c r="G44" s="86">
        <v>1.5894496296946066E-2</v>
      </c>
      <c r="H44" s="89">
        <v>0.37733411998075667</v>
      </c>
      <c r="I44" s="89">
        <v>0.64754147445776411</v>
      </c>
      <c r="J44" s="86">
        <v>0.2956881353371551</v>
      </c>
      <c r="K44" s="86">
        <v>0.29740965332072172</v>
      </c>
      <c r="L44" s="86">
        <v>0.14994122138887842</v>
      </c>
      <c r="M44" s="89">
        <v>0.62099284700908697</v>
      </c>
      <c r="N44" s="89">
        <v>0.4533505023554617</v>
      </c>
      <c r="O44" s="86">
        <v>0.2077950006180351</v>
      </c>
      <c r="P44" s="86">
        <v>0.2771746546698643</v>
      </c>
      <c r="Q44" s="86">
        <v>0.12809072206500141</v>
      </c>
      <c r="R44" s="86">
        <v>-1.3591006912970102E-2</v>
      </c>
      <c r="S44" s="86">
        <v>0.11513735370272622</v>
      </c>
      <c r="T44" s="86">
        <v>0.16044622134358377</v>
      </c>
      <c r="U44" s="86">
        <v>0.15919771414291717</v>
      </c>
    </row>
    <row r="45" spans="2:21" x14ac:dyDescent="0.3">
      <c r="B45" s="72" t="s">
        <v>42</v>
      </c>
      <c r="C45" s="91">
        <v>0.59077331542448275</v>
      </c>
      <c r="D45" s="92">
        <v>1</v>
      </c>
      <c r="E45" s="87">
        <v>5.4876884150835352E-2</v>
      </c>
      <c r="F45" s="87">
        <v>3.9858248977569996E-2</v>
      </c>
      <c r="G45" s="87">
        <v>0.20189726618365861</v>
      </c>
      <c r="H45" s="91">
        <v>0.51589759880787933</v>
      </c>
      <c r="I45" s="91">
        <v>0.63304610885805912</v>
      </c>
      <c r="J45" s="91">
        <v>0.45439210398509217</v>
      </c>
      <c r="K45" s="91">
        <v>0.83785428190938649</v>
      </c>
      <c r="L45" s="91">
        <v>0.6162509302581215</v>
      </c>
      <c r="M45" s="91">
        <v>0.96132758039241339</v>
      </c>
      <c r="N45" s="91">
        <v>0.81021541396585905</v>
      </c>
      <c r="O45" s="87">
        <v>0.1593770207666351</v>
      </c>
      <c r="P45" s="87">
        <v>0.21247819270109713</v>
      </c>
      <c r="Q45" s="91">
        <v>0.61560362790537093</v>
      </c>
      <c r="R45" s="91">
        <v>0.38850263948297992</v>
      </c>
      <c r="S45" s="87">
        <v>1.7481168373962817E-2</v>
      </c>
      <c r="T45" s="87">
        <v>0.31710438062689927</v>
      </c>
      <c r="U45" s="87">
        <v>0.30283486409270932</v>
      </c>
    </row>
    <row r="46" spans="2:21" x14ac:dyDescent="0.3">
      <c r="B46" s="72" t="s">
        <v>48</v>
      </c>
      <c r="C46" s="87">
        <v>-0.26423336926818242</v>
      </c>
      <c r="D46" s="87">
        <v>5.4876884150835352E-2</v>
      </c>
      <c r="E46" s="92">
        <v>1</v>
      </c>
      <c r="F46" s="87">
        <v>6.487276912066392E-2</v>
      </c>
      <c r="G46" s="87">
        <v>0.24952593027959033</v>
      </c>
      <c r="H46" s="87">
        <v>0.18491178619966148</v>
      </c>
      <c r="I46" s="87">
        <v>8.2709621265150482E-2</v>
      </c>
      <c r="J46" s="87">
        <v>-0.14463922217398836</v>
      </c>
      <c r="K46" s="87">
        <v>0.23304146439339243</v>
      </c>
      <c r="L46" s="87">
        <v>0.27056631748911952</v>
      </c>
      <c r="M46" s="87">
        <v>7.0774133658191754E-2</v>
      </c>
      <c r="N46" s="87">
        <v>5.5792270372925105E-2</v>
      </c>
      <c r="O46" s="87">
        <v>7.7265592258746643E-2</v>
      </c>
      <c r="P46" s="87">
        <v>-2.243619208654549E-2</v>
      </c>
      <c r="Q46" s="87">
        <v>0.29108276943774836</v>
      </c>
      <c r="R46" s="87">
        <v>0.24946141375822389</v>
      </c>
      <c r="S46" s="87">
        <v>1.9012800155920186E-2</v>
      </c>
      <c r="T46" s="87">
        <v>-1.0298641657245918E-2</v>
      </c>
      <c r="U46" s="87">
        <v>5.0720000236147131E-2</v>
      </c>
    </row>
    <row r="47" spans="2:21" x14ac:dyDescent="0.3">
      <c r="B47" s="72" t="s">
        <v>49</v>
      </c>
      <c r="C47" s="87">
        <v>8.8996309922636943E-4</v>
      </c>
      <c r="D47" s="87">
        <v>3.9858248977569996E-2</v>
      </c>
      <c r="E47" s="87">
        <v>6.487276912066392E-2</v>
      </c>
      <c r="F47" s="92">
        <v>1</v>
      </c>
      <c r="G47" s="87">
        <v>0.11105779673697212</v>
      </c>
      <c r="H47" s="87">
        <v>0.13065895757570112</v>
      </c>
      <c r="I47" s="87">
        <v>8.1070917267551772E-3</v>
      </c>
      <c r="J47" s="87">
        <v>0.18481300123063155</v>
      </c>
      <c r="K47" s="87">
        <v>0.11813119741209599</v>
      </c>
      <c r="L47" s="87">
        <v>0.13226696546088354</v>
      </c>
      <c r="M47" s="87">
        <v>0.14688054900871314</v>
      </c>
      <c r="N47" s="87">
        <v>0.18029735643791209</v>
      </c>
      <c r="O47" s="87">
        <v>0.10054143158215716</v>
      </c>
      <c r="P47" s="87">
        <v>0.23015431792515215</v>
      </c>
      <c r="Q47" s="87">
        <v>-0.11259584548383555</v>
      </c>
      <c r="R47" s="87">
        <v>-9.9774348970551457E-2</v>
      </c>
      <c r="S47" s="87">
        <v>-0.23100362273295211</v>
      </c>
      <c r="T47" s="87">
        <v>-3.9194460537245422E-2</v>
      </c>
      <c r="U47" s="87">
        <v>-5.8427632907605942E-2</v>
      </c>
    </row>
    <row r="48" spans="2:21" x14ac:dyDescent="0.3">
      <c r="B48" s="72" t="s">
        <v>116</v>
      </c>
      <c r="C48" s="87">
        <v>1.5894496296946066E-2</v>
      </c>
      <c r="D48" s="87">
        <v>0.20189726618365861</v>
      </c>
      <c r="E48" s="87">
        <v>0.24952593027959033</v>
      </c>
      <c r="F48" s="87">
        <v>0.11105779673697212</v>
      </c>
      <c r="G48" s="92">
        <v>1</v>
      </c>
      <c r="H48" s="87">
        <v>0.21335858345702532</v>
      </c>
      <c r="I48" s="87">
        <v>0.22986853833245879</v>
      </c>
      <c r="J48" s="87">
        <v>0.11837542138909472</v>
      </c>
      <c r="K48" s="87">
        <v>0.26753233755563466</v>
      </c>
      <c r="L48" s="91">
        <v>0.35184738700672197</v>
      </c>
      <c r="M48" s="87">
        <v>0.22111641549143871</v>
      </c>
      <c r="N48" s="91">
        <v>0.45197134265764782</v>
      </c>
      <c r="O48" s="87">
        <v>-0.16456441282766288</v>
      </c>
      <c r="P48" s="87">
        <v>9.4817596071485932E-2</v>
      </c>
      <c r="Q48" s="87">
        <v>-8.4615655577251654E-3</v>
      </c>
      <c r="R48" s="87">
        <v>-2.5730417344059293E-2</v>
      </c>
      <c r="S48" s="87">
        <v>5.9820538140082695E-2</v>
      </c>
      <c r="T48" s="87">
        <v>2.8657006212130586E-2</v>
      </c>
      <c r="U48" s="87">
        <v>3.32491013728414E-2</v>
      </c>
    </row>
    <row r="49" spans="2:21" x14ac:dyDescent="0.3">
      <c r="B49" s="72" t="s">
        <v>51</v>
      </c>
      <c r="C49" s="91">
        <v>0.37733411998075667</v>
      </c>
      <c r="D49" s="91">
        <v>0.51589759880787933</v>
      </c>
      <c r="E49" s="87">
        <v>0.18491178619966148</v>
      </c>
      <c r="F49" s="87">
        <v>0.13065895757570112</v>
      </c>
      <c r="G49" s="87">
        <v>0.21335858345702532</v>
      </c>
      <c r="H49" s="92">
        <v>1</v>
      </c>
      <c r="I49" s="91">
        <v>0.48230586566307887</v>
      </c>
      <c r="J49" s="91">
        <v>0.36022777874522505</v>
      </c>
      <c r="K49" s="87">
        <v>0.34053770345287337</v>
      </c>
      <c r="L49" s="87">
        <v>0.16349995689149174</v>
      </c>
      <c r="M49" s="91">
        <v>0.5832413966949076</v>
      </c>
      <c r="N49" s="91">
        <v>0.44290289720670856</v>
      </c>
      <c r="O49" s="87">
        <v>2.4325681925868935E-2</v>
      </c>
      <c r="P49" s="87">
        <v>0.15847943001002304</v>
      </c>
      <c r="Q49" s="87">
        <v>3.4746470441228347E-2</v>
      </c>
      <c r="R49" s="87">
        <v>-0.20336897536870405</v>
      </c>
      <c r="S49" s="87">
        <v>-0.16740955756847892</v>
      </c>
      <c r="T49" s="87">
        <v>0.11729095342376447</v>
      </c>
      <c r="U49" s="87">
        <v>8.646768462497792E-2</v>
      </c>
    </row>
    <row r="50" spans="2:21" x14ac:dyDescent="0.3">
      <c r="B50" s="72" t="s">
        <v>52</v>
      </c>
      <c r="C50" s="91">
        <v>0.64754147445776411</v>
      </c>
      <c r="D50" s="91">
        <v>0.63304610885805912</v>
      </c>
      <c r="E50" s="87">
        <v>8.2709621265150482E-2</v>
      </c>
      <c r="F50" s="87">
        <v>8.1070917267551772E-3</v>
      </c>
      <c r="G50" s="87">
        <v>0.22986853833245879</v>
      </c>
      <c r="H50" s="91">
        <v>0.48230586566307887</v>
      </c>
      <c r="I50" s="92">
        <v>1</v>
      </c>
      <c r="J50" s="91">
        <v>0.40089918231045507</v>
      </c>
      <c r="K50" s="91">
        <v>0.40776129850485349</v>
      </c>
      <c r="L50" s="87">
        <v>0.25117189797121769</v>
      </c>
      <c r="M50" s="91">
        <v>0.59007428278881091</v>
      </c>
      <c r="N50" s="91">
        <v>0.58713309236650657</v>
      </c>
      <c r="O50" s="87">
        <v>-5.7753630439545123E-2</v>
      </c>
      <c r="P50" s="87">
        <v>-1.8113959205954502E-2</v>
      </c>
      <c r="Q50" s="87">
        <v>0.1157570293689784</v>
      </c>
      <c r="R50" s="87">
        <v>-1.6508073346350835E-2</v>
      </c>
      <c r="S50" s="91">
        <v>0.35877578540773308</v>
      </c>
      <c r="T50" s="91">
        <v>0.49651902253697644</v>
      </c>
      <c r="U50" s="91">
        <v>0.49013300572590507</v>
      </c>
    </row>
    <row r="51" spans="2:21" x14ac:dyDescent="0.3">
      <c r="B51" s="72" t="s">
        <v>53</v>
      </c>
      <c r="C51" s="87">
        <v>0.2956881353371551</v>
      </c>
      <c r="D51" s="91">
        <v>0.45439210398509217</v>
      </c>
      <c r="E51" s="87">
        <v>-0.14463922217398836</v>
      </c>
      <c r="F51" s="87">
        <v>0.18481300123063155</v>
      </c>
      <c r="G51" s="87">
        <v>0.11837542138909472</v>
      </c>
      <c r="H51" s="91">
        <v>0.36022777874522505</v>
      </c>
      <c r="I51" s="91">
        <v>0.40089918231045507</v>
      </c>
      <c r="J51" s="92">
        <v>1</v>
      </c>
      <c r="K51" s="87">
        <v>0.2023306929933916</v>
      </c>
      <c r="L51" s="87">
        <v>8.0058373626514884E-2</v>
      </c>
      <c r="M51" s="91">
        <v>0.54069497083200668</v>
      </c>
      <c r="N51" s="91">
        <v>0.5645562450267283</v>
      </c>
      <c r="O51" s="87">
        <v>8.3401913276471479E-2</v>
      </c>
      <c r="P51" s="91">
        <v>0.40715504581932621</v>
      </c>
      <c r="Q51" s="87">
        <v>2.6546387402707993E-2</v>
      </c>
      <c r="R51" s="87">
        <v>-0.16199360582620856</v>
      </c>
      <c r="S51" s="87">
        <v>2.2914421287917E-2</v>
      </c>
      <c r="T51" s="87">
        <v>4.709691881233366E-2</v>
      </c>
      <c r="U51" s="87">
        <v>4.3991701571499335E-2</v>
      </c>
    </row>
    <row r="52" spans="2:21" x14ac:dyDescent="0.3">
      <c r="B52" s="72" t="s">
        <v>54</v>
      </c>
      <c r="C52" s="87">
        <v>0.29740965332072172</v>
      </c>
      <c r="D52" s="91">
        <v>0.83785428190938649</v>
      </c>
      <c r="E52" s="87">
        <v>0.23304146439339243</v>
      </c>
      <c r="F52" s="87">
        <v>0.11813119741209599</v>
      </c>
      <c r="G52" s="87">
        <v>0.26753233755563466</v>
      </c>
      <c r="H52" s="87">
        <v>0.34053770345287337</v>
      </c>
      <c r="I52" s="91">
        <v>0.40776129850485349</v>
      </c>
      <c r="J52" s="87">
        <v>0.2023306929933916</v>
      </c>
      <c r="K52" s="92">
        <v>1</v>
      </c>
      <c r="L52" s="91">
        <v>0.77944819075332672</v>
      </c>
      <c r="M52" s="91">
        <v>0.79788653133982435</v>
      </c>
      <c r="N52" s="91">
        <v>0.66676588542580673</v>
      </c>
      <c r="O52" s="87">
        <v>0.31142071875755822</v>
      </c>
      <c r="P52" s="87">
        <v>0.20741911952976416</v>
      </c>
      <c r="Q52" s="91">
        <v>0.74461496839814401</v>
      </c>
      <c r="R52" s="91">
        <v>0.61094489659343931</v>
      </c>
      <c r="S52" s="87">
        <v>-1.7765174296876313E-2</v>
      </c>
      <c r="T52" s="87">
        <v>0.298680629850263</v>
      </c>
      <c r="U52" s="87">
        <v>0.3094464722539319</v>
      </c>
    </row>
    <row r="53" spans="2:21" x14ac:dyDescent="0.3">
      <c r="B53" s="72" t="s">
        <v>55</v>
      </c>
      <c r="C53" s="87">
        <v>0.14994122138887842</v>
      </c>
      <c r="D53" s="91">
        <v>0.6162509302581215</v>
      </c>
      <c r="E53" s="87">
        <v>0.27056631748911952</v>
      </c>
      <c r="F53" s="87">
        <v>0.13226696546088354</v>
      </c>
      <c r="G53" s="91">
        <v>0.35184738700672197</v>
      </c>
      <c r="H53" s="87">
        <v>0.16349995689149174</v>
      </c>
      <c r="I53" s="87">
        <v>0.25117189797121769</v>
      </c>
      <c r="J53" s="87">
        <v>8.0058373626514884E-2</v>
      </c>
      <c r="K53" s="91">
        <v>0.77944819075332672</v>
      </c>
      <c r="L53" s="92">
        <v>1</v>
      </c>
      <c r="M53" s="91">
        <v>0.5807980633383778</v>
      </c>
      <c r="N53" s="91">
        <v>0.7238713467625979</v>
      </c>
      <c r="O53" s="87">
        <v>0.18976869816042305</v>
      </c>
      <c r="P53" s="87">
        <v>0.29783849871347912</v>
      </c>
      <c r="Q53" s="91">
        <v>0.67744882726945144</v>
      </c>
      <c r="R53" s="91">
        <v>0.59349377847704332</v>
      </c>
      <c r="S53" s="87">
        <v>-1.9115768151464776E-2</v>
      </c>
      <c r="T53" s="87">
        <v>0.10242860088331097</v>
      </c>
      <c r="U53" s="87">
        <v>0.13718426644759893</v>
      </c>
    </row>
    <row r="54" spans="2:21" x14ac:dyDescent="0.3">
      <c r="B54" s="72" t="s">
        <v>45</v>
      </c>
      <c r="C54" s="91">
        <v>0.62099284700908697</v>
      </c>
      <c r="D54" s="91">
        <v>0.96132758039241339</v>
      </c>
      <c r="E54" s="87">
        <v>7.0774133658191754E-2</v>
      </c>
      <c r="F54" s="87">
        <v>0.14688054900871314</v>
      </c>
      <c r="G54" s="87">
        <v>0.22111641549143871</v>
      </c>
      <c r="H54" s="91">
        <v>0.5832413966949076</v>
      </c>
      <c r="I54" s="91">
        <v>0.59007428278881091</v>
      </c>
      <c r="J54" s="91">
        <v>0.54069497083200668</v>
      </c>
      <c r="K54" s="91">
        <v>0.79788653133982435</v>
      </c>
      <c r="L54" s="91">
        <v>0.5807980633383778</v>
      </c>
      <c r="M54" s="92">
        <v>1</v>
      </c>
      <c r="N54" s="91">
        <v>0.82040646665668882</v>
      </c>
      <c r="O54" s="87">
        <v>0.20869642073596456</v>
      </c>
      <c r="P54" s="87">
        <v>0.31426926353516749</v>
      </c>
      <c r="Q54" s="91">
        <v>0.55273876119969101</v>
      </c>
      <c r="R54" s="87">
        <v>0.31344983750900873</v>
      </c>
      <c r="S54" s="87">
        <v>-4.977485476201262E-2</v>
      </c>
      <c r="T54" s="87">
        <v>0.21499758595556034</v>
      </c>
      <c r="U54" s="87">
        <v>0.21522060623125483</v>
      </c>
    </row>
    <row r="55" spans="2:21" x14ac:dyDescent="0.3">
      <c r="B55" s="72" t="s">
        <v>56</v>
      </c>
      <c r="C55" s="91">
        <v>0.4533505023554617</v>
      </c>
      <c r="D55" s="91">
        <v>0.81021541396585905</v>
      </c>
      <c r="E55" s="87">
        <v>5.5792270372925105E-2</v>
      </c>
      <c r="F55" s="87">
        <v>0.18029735643791209</v>
      </c>
      <c r="G55" s="91">
        <v>0.45197134265764782</v>
      </c>
      <c r="H55" s="91">
        <v>0.44290289720670856</v>
      </c>
      <c r="I55" s="91">
        <v>0.58713309236650657</v>
      </c>
      <c r="J55" s="91">
        <v>0.5645562450267283</v>
      </c>
      <c r="K55" s="91">
        <v>0.66676588542580673</v>
      </c>
      <c r="L55" s="91">
        <v>0.7238713467625979</v>
      </c>
      <c r="M55" s="91">
        <v>0.82040646665668882</v>
      </c>
      <c r="N55" s="92">
        <v>1</v>
      </c>
      <c r="O55" s="87">
        <v>-1.7579193117003466E-2</v>
      </c>
      <c r="P55" s="87">
        <v>0.28618142221417781</v>
      </c>
      <c r="Q55" s="91">
        <v>0.38665440086946923</v>
      </c>
      <c r="R55" s="87">
        <v>0.21719379216169499</v>
      </c>
      <c r="S55" s="87">
        <v>5.6391134091542713E-2</v>
      </c>
      <c r="T55" s="87">
        <v>0.22788457013198385</v>
      </c>
      <c r="U55" s="87">
        <v>0.23563317013737012</v>
      </c>
    </row>
    <row r="56" spans="2:21" x14ac:dyDescent="0.3">
      <c r="B56" s="72" t="s">
        <v>57</v>
      </c>
      <c r="C56" s="87">
        <v>0.2077950006180351</v>
      </c>
      <c r="D56" s="87">
        <v>0.1593770207666351</v>
      </c>
      <c r="E56" s="87">
        <v>7.7265592258746643E-2</v>
      </c>
      <c r="F56" s="87">
        <v>0.10054143158215716</v>
      </c>
      <c r="G56" s="87">
        <v>-0.16456441282766288</v>
      </c>
      <c r="H56" s="87">
        <v>2.4325681925868935E-2</v>
      </c>
      <c r="I56" s="87">
        <v>-5.7753630439545123E-2</v>
      </c>
      <c r="J56" s="87">
        <v>8.3401913276471479E-2</v>
      </c>
      <c r="K56" s="87">
        <v>0.31142071875755822</v>
      </c>
      <c r="L56" s="87">
        <v>0.18976869816042305</v>
      </c>
      <c r="M56" s="87">
        <v>0.20869642073596456</v>
      </c>
      <c r="N56" s="87">
        <v>-1.7579193117003466E-2</v>
      </c>
      <c r="O56" s="92">
        <v>1</v>
      </c>
      <c r="P56" s="91">
        <v>0.69049308433429635</v>
      </c>
      <c r="Q56" s="91">
        <v>0.41530407195813573</v>
      </c>
      <c r="R56" s="91">
        <v>0.36030929982515064</v>
      </c>
      <c r="S56" s="87">
        <v>-0.30751158360101966</v>
      </c>
      <c r="T56" s="87">
        <v>-0.2765372742433484</v>
      </c>
      <c r="U56" s="87">
        <v>-0.26217015137543465</v>
      </c>
    </row>
    <row r="57" spans="2:21" x14ac:dyDescent="0.3">
      <c r="B57" s="72" t="s">
        <v>58</v>
      </c>
      <c r="C57" s="87">
        <v>0.2771746546698643</v>
      </c>
      <c r="D57" s="87">
        <v>0.21247819270109713</v>
      </c>
      <c r="E57" s="87">
        <v>-2.243619208654549E-2</v>
      </c>
      <c r="F57" s="87">
        <v>0.23015431792515215</v>
      </c>
      <c r="G57" s="87">
        <v>9.4817596071485932E-2</v>
      </c>
      <c r="H57" s="87">
        <v>0.15847943001002304</v>
      </c>
      <c r="I57" s="87">
        <v>-1.8113959205954502E-2</v>
      </c>
      <c r="J57" s="91">
        <v>0.40715504581932621</v>
      </c>
      <c r="K57" s="87">
        <v>0.20741911952976416</v>
      </c>
      <c r="L57" s="87">
        <v>0.29783849871347912</v>
      </c>
      <c r="M57" s="87">
        <v>0.31426926353516749</v>
      </c>
      <c r="N57" s="87">
        <v>0.28618142221417781</v>
      </c>
      <c r="O57" s="91">
        <v>0.69049308433429635</v>
      </c>
      <c r="P57" s="92">
        <v>1</v>
      </c>
      <c r="Q57" s="87">
        <v>0.23466016719112914</v>
      </c>
      <c r="R57" s="87">
        <v>8.3008062145024208E-2</v>
      </c>
      <c r="S57" s="87">
        <v>-0.3180510382320873</v>
      </c>
      <c r="T57" s="91">
        <v>-0.36548960591410978</v>
      </c>
      <c r="U57" s="87">
        <v>-0.33481394510618739</v>
      </c>
    </row>
    <row r="58" spans="2:21" x14ac:dyDescent="0.3">
      <c r="B58" s="72" t="s">
        <v>43</v>
      </c>
      <c r="C58" s="87">
        <v>0.12809072206500141</v>
      </c>
      <c r="D58" s="91">
        <v>0.61560362790537093</v>
      </c>
      <c r="E58" s="87">
        <v>0.29108276943774836</v>
      </c>
      <c r="F58" s="87">
        <v>-0.11259584548383555</v>
      </c>
      <c r="G58" s="87">
        <v>-8.4615655577251654E-3</v>
      </c>
      <c r="H58" s="87">
        <v>3.4746470441228347E-2</v>
      </c>
      <c r="I58" s="87">
        <v>0.1157570293689784</v>
      </c>
      <c r="J58" s="87">
        <v>2.6546387402707993E-2</v>
      </c>
      <c r="K58" s="91">
        <v>0.74461496839814401</v>
      </c>
      <c r="L58" s="91">
        <v>0.67744882726945144</v>
      </c>
      <c r="M58" s="91">
        <v>0.55273876119969101</v>
      </c>
      <c r="N58" s="91">
        <v>0.38665440086946923</v>
      </c>
      <c r="O58" s="91">
        <v>0.41530407195813573</v>
      </c>
      <c r="P58" s="87">
        <v>0.23466016719112914</v>
      </c>
      <c r="Q58" s="92">
        <v>1</v>
      </c>
      <c r="R58" s="91">
        <v>0.90673446466548779</v>
      </c>
      <c r="S58" s="87">
        <v>1.2328741587413421E-2</v>
      </c>
      <c r="T58" s="87">
        <v>0.1654890629116596</v>
      </c>
      <c r="U58" s="87">
        <v>0.17339428873070767</v>
      </c>
    </row>
    <row r="59" spans="2:21" x14ac:dyDescent="0.3">
      <c r="B59" s="72" t="s">
        <v>59</v>
      </c>
      <c r="C59" s="87">
        <v>-1.3591006912970102E-2</v>
      </c>
      <c r="D59" s="91">
        <v>0.38850263948297992</v>
      </c>
      <c r="E59" s="87">
        <v>0.24946141375822389</v>
      </c>
      <c r="F59" s="87">
        <v>-9.9774348970551457E-2</v>
      </c>
      <c r="G59" s="87">
        <v>-2.5730417344059293E-2</v>
      </c>
      <c r="H59" s="87">
        <v>-0.20336897536870405</v>
      </c>
      <c r="I59" s="87">
        <v>-1.6508073346350835E-2</v>
      </c>
      <c r="J59" s="87">
        <v>-0.16199360582620856</v>
      </c>
      <c r="K59" s="91">
        <v>0.61094489659343931</v>
      </c>
      <c r="L59" s="91">
        <v>0.59349377847704332</v>
      </c>
      <c r="M59" s="87">
        <v>0.31344983750900873</v>
      </c>
      <c r="N59" s="87">
        <v>0.21719379216169499</v>
      </c>
      <c r="O59" s="91">
        <v>0.36030929982515064</v>
      </c>
      <c r="P59" s="87">
        <v>8.3008062145024208E-2</v>
      </c>
      <c r="Q59" s="91">
        <v>0.90673446466548779</v>
      </c>
      <c r="R59" s="92">
        <v>1</v>
      </c>
      <c r="S59" s="87">
        <v>7.5746607742314311E-3</v>
      </c>
      <c r="T59" s="87">
        <v>7.5059236806507251E-2</v>
      </c>
      <c r="U59" s="87">
        <v>8.4537070143856904E-2</v>
      </c>
    </row>
    <row r="60" spans="2:21" x14ac:dyDescent="0.3">
      <c r="B60" s="72" t="s">
        <v>60</v>
      </c>
      <c r="C60" s="87">
        <v>0.11513735370272622</v>
      </c>
      <c r="D60" s="87">
        <v>1.7481168373962817E-2</v>
      </c>
      <c r="E60" s="87">
        <v>1.9012800155920186E-2</v>
      </c>
      <c r="F60" s="87">
        <v>-0.23100362273295211</v>
      </c>
      <c r="G60" s="87">
        <v>5.9820538140082695E-2</v>
      </c>
      <c r="H60" s="87">
        <v>-0.16740955756847892</v>
      </c>
      <c r="I60" s="91">
        <v>0.35877578540773308</v>
      </c>
      <c r="J60" s="87">
        <v>2.2914421287917E-2</v>
      </c>
      <c r="K60" s="87">
        <v>-1.7765174296876313E-2</v>
      </c>
      <c r="L60" s="87">
        <v>-1.9115768151464776E-2</v>
      </c>
      <c r="M60" s="87">
        <v>-4.977485476201262E-2</v>
      </c>
      <c r="N60" s="87">
        <v>5.6391134091542713E-2</v>
      </c>
      <c r="O60" s="87">
        <v>-0.30751158360101966</v>
      </c>
      <c r="P60" s="87">
        <v>-0.3180510382320873</v>
      </c>
      <c r="Q60" s="87">
        <v>1.2328741587413421E-2</v>
      </c>
      <c r="R60" s="87">
        <v>7.5746607742314311E-3</v>
      </c>
      <c r="S60" s="92">
        <v>1</v>
      </c>
      <c r="T60" s="91">
        <v>0.75506368570221649</v>
      </c>
      <c r="U60" s="91">
        <v>0.80203007401344284</v>
      </c>
    </row>
    <row r="61" spans="2:21" x14ac:dyDescent="0.3">
      <c r="B61" s="72" t="s">
        <v>61</v>
      </c>
      <c r="C61" s="87">
        <v>0.16044622134358377</v>
      </c>
      <c r="D61" s="87">
        <v>0.31710438062689927</v>
      </c>
      <c r="E61" s="87">
        <v>-1.0298641657245918E-2</v>
      </c>
      <c r="F61" s="87">
        <v>-3.9194460537245422E-2</v>
      </c>
      <c r="G61" s="87">
        <v>2.8657006212130586E-2</v>
      </c>
      <c r="H61" s="87">
        <v>0.11729095342376447</v>
      </c>
      <c r="I61" s="91">
        <v>0.49651902253697644</v>
      </c>
      <c r="J61" s="87">
        <v>4.709691881233366E-2</v>
      </c>
      <c r="K61" s="87">
        <v>0.298680629850263</v>
      </c>
      <c r="L61" s="87">
        <v>0.10242860088331097</v>
      </c>
      <c r="M61" s="87">
        <v>0.21499758595556034</v>
      </c>
      <c r="N61" s="87">
        <v>0.22788457013198385</v>
      </c>
      <c r="O61" s="87">
        <v>-0.2765372742433484</v>
      </c>
      <c r="P61" s="91">
        <v>-0.36548960591410978</v>
      </c>
      <c r="Q61" s="87">
        <v>0.1654890629116596</v>
      </c>
      <c r="R61" s="87">
        <v>7.5059236806507251E-2</v>
      </c>
      <c r="S61" s="91">
        <v>0.75506368570221649</v>
      </c>
      <c r="T61" s="92">
        <v>1</v>
      </c>
      <c r="U61" s="91">
        <v>0.98309197461308628</v>
      </c>
    </row>
    <row r="62" spans="2:21" ht="16.2" thickBot="1" x14ac:dyDescent="0.35">
      <c r="B62" s="85" t="s">
        <v>62</v>
      </c>
      <c r="C62" s="88">
        <v>0.15919771414291717</v>
      </c>
      <c r="D62" s="88">
        <v>0.30283486409270932</v>
      </c>
      <c r="E62" s="88">
        <v>5.0720000236147131E-2</v>
      </c>
      <c r="F62" s="88">
        <v>-5.8427632907605942E-2</v>
      </c>
      <c r="G62" s="88">
        <v>3.32491013728414E-2</v>
      </c>
      <c r="H62" s="88">
        <v>8.646768462497792E-2</v>
      </c>
      <c r="I62" s="93">
        <v>0.49013300572590507</v>
      </c>
      <c r="J62" s="88">
        <v>4.3991701571499335E-2</v>
      </c>
      <c r="K62" s="88">
        <v>0.3094464722539319</v>
      </c>
      <c r="L62" s="88">
        <v>0.13718426644759893</v>
      </c>
      <c r="M62" s="88">
        <v>0.21522060623125483</v>
      </c>
      <c r="N62" s="88">
        <v>0.23563317013737012</v>
      </c>
      <c r="O62" s="88">
        <v>-0.26217015137543465</v>
      </c>
      <c r="P62" s="88">
        <v>-0.33481394510618739</v>
      </c>
      <c r="Q62" s="88">
        <v>0.17339428873070767</v>
      </c>
      <c r="R62" s="88">
        <v>8.4537070143856904E-2</v>
      </c>
      <c r="S62" s="93">
        <v>0.80203007401344284</v>
      </c>
      <c r="T62" s="93">
        <v>0.98309197461308628</v>
      </c>
      <c r="U62" s="94">
        <v>1</v>
      </c>
    </row>
    <row r="63" spans="2:21" x14ac:dyDescent="0.3">
      <c r="B63" s="95" t="s">
        <v>119</v>
      </c>
    </row>
    <row r="66" spans="2:21" x14ac:dyDescent="0.3">
      <c r="B66" s="70" t="s">
        <v>120</v>
      </c>
    </row>
    <row r="68" spans="2:21" x14ac:dyDescent="0.3">
      <c r="B68" t="s">
        <v>121</v>
      </c>
    </row>
    <row r="69" spans="2:21" ht="16.2" thickBot="1" x14ac:dyDescent="0.35"/>
    <row r="70" spans="2:21" x14ac:dyDescent="0.3">
      <c r="B70" s="74"/>
      <c r="C70" s="75" t="s">
        <v>122</v>
      </c>
      <c r="D70" s="75" t="s">
        <v>123</v>
      </c>
      <c r="E70" s="75" t="s">
        <v>124</v>
      </c>
      <c r="F70" s="75" t="s">
        <v>125</v>
      </c>
      <c r="G70" s="75" t="s">
        <v>126</v>
      </c>
      <c r="H70" s="75" t="s">
        <v>127</v>
      </c>
      <c r="I70" s="75" t="s">
        <v>128</v>
      </c>
      <c r="J70" s="75" t="s">
        <v>129</v>
      </c>
      <c r="K70" s="75" t="s">
        <v>130</v>
      </c>
      <c r="L70" s="75" t="s">
        <v>131</v>
      </c>
      <c r="M70" s="75" t="s">
        <v>132</v>
      </c>
      <c r="N70" s="75" t="s">
        <v>133</v>
      </c>
      <c r="O70" s="75" t="s">
        <v>134</v>
      </c>
      <c r="P70" s="75" t="s">
        <v>135</v>
      </c>
      <c r="Q70" s="75" t="s">
        <v>136</v>
      </c>
      <c r="R70" s="75" t="s">
        <v>137</v>
      </c>
      <c r="S70" s="75" t="s">
        <v>138</v>
      </c>
      <c r="T70" s="75" t="s">
        <v>139</v>
      </c>
      <c r="U70" s="75" t="s">
        <v>140</v>
      </c>
    </row>
    <row r="71" spans="2:21" x14ac:dyDescent="0.3">
      <c r="B71" s="84" t="s">
        <v>141</v>
      </c>
      <c r="C71" s="86">
        <v>6.3051327873586862</v>
      </c>
      <c r="D71" s="86">
        <v>3.3403889523262813</v>
      </c>
      <c r="E71" s="86">
        <v>2.5591087050058805</v>
      </c>
      <c r="F71" s="86">
        <v>1.5852505154828929</v>
      </c>
      <c r="G71" s="86">
        <v>1.0574781731462679</v>
      </c>
      <c r="H71" s="86">
        <v>0.96716549133437746</v>
      </c>
      <c r="I71" s="86">
        <v>0.86900335863366385</v>
      </c>
      <c r="J71" s="86">
        <v>0.69417001048723714</v>
      </c>
      <c r="K71" s="86">
        <v>0.47476605121442056</v>
      </c>
      <c r="L71" s="86">
        <v>0.3506361956827958</v>
      </c>
      <c r="M71" s="86">
        <v>0.24895413506881375</v>
      </c>
      <c r="N71" s="86">
        <v>0.1961585924287233</v>
      </c>
      <c r="O71" s="86">
        <v>0.13136025992472911</v>
      </c>
      <c r="P71" s="86">
        <v>8.5629015508235068E-2</v>
      </c>
      <c r="Q71" s="86">
        <v>5.6492272634690525E-2</v>
      </c>
      <c r="R71" s="86">
        <v>4.1343533957446853E-2</v>
      </c>
      <c r="S71" s="86">
        <v>1.8421562065315648E-2</v>
      </c>
      <c r="T71" s="86">
        <v>1.3029142992154829E-2</v>
      </c>
      <c r="U71" s="86">
        <v>5.5112447473865114E-3</v>
      </c>
    </row>
    <row r="72" spans="2:21" x14ac:dyDescent="0.3">
      <c r="B72" s="72" t="s">
        <v>142</v>
      </c>
      <c r="C72" s="87">
        <v>33.184909407150968</v>
      </c>
      <c r="D72" s="87">
        <v>17.580994485927793</v>
      </c>
      <c r="E72" s="87">
        <v>13.468993184241473</v>
      </c>
      <c r="F72" s="87">
        <v>8.3434237656994341</v>
      </c>
      <c r="G72" s="87">
        <v>5.5656745955066711</v>
      </c>
      <c r="H72" s="87">
        <v>5.0903446912335637</v>
      </c>
      <c r="I72" s="87">
        <v>4.5737018875455977</v>
      </c>
      <c r="J72" s="87">
        <v>3.6535263709854577</v>
      </c>
      <c r="K72" s="87">
        <v>2.4987686906022128</v>
      </c>
      <c r="L72" s="87">
        <v>1.8454536614883985</v>
      </c>
      <c r="M72" s="87">
        <v>1.3102849214148089</v>
      </c>
      <c r="N72" s="87">
        <v>1.0324136443617014</v>
      </c>
      <c r="O72" s="87">
        <v>0.69136978907752145</v>
      </c>
      <c r="P72" s="87">
        <v>0.45067902899071077</v>
      </c>
      <c r="Q72" s="87">
        <v>0.29732775070889739</v>
      </c>
      <c r="R72" s="87">
        <v>0.21759754714445706</v>
      </c>
      <c r="S72" s="87">
        <v>9.6955589817450755E-2</v>
      </c>
      <c r="T72" s="87">
        <v>6.8574436800814875E-2</v>
      </c>
      <c r="U72" s="87">
        <v>2.9006551302034261E-2</v>
      </c>
    </row>
    <row r="73" spans="2:21" ht="16.2" thickBot="1" x14ac:dyDescent="0.35">
      <c r="B73" s="85" t="s">
        <v>143</v>
      </c>
      <c r="C73" s="88">
        <v>33.184909407150968</v>
      </c>
      <c r="D73" s="88">
        <v>50.765903893078757</v>
      </c>
      <c r="E73" s="88">
        <v>64.234897077320227</v>
      </c>
      <c r="F73" s="88">
        <v>72.578320843019668</v>
      </c>
      <c r="G73" s="88">
        <v>78.143995438526332</v>
      </c>
      <c r="H73" s="88">
        <v>83.2343401297599</v>
      </c>
      <c r="I73" s="88">
        <v>87.808042017305496</v>
      </c>
      <c r="J73" s="88">
        <v>91.461568388290956</v>
      </c>
      <c r="K73" s="88">
        <v>93.960337078893176</v>
      </c>
      <c r="L73" s="88">
        <v>95.805790740381568</v>
      </c>
      <c r="M73" s="88">
        <v>97.116075661796373</v>
      </c>
      <c r="N73" s="88">
        <v>98.148489306158069</v>
      </c>
      <c r="O73" s="88">
        <v>98.839859095235596</v>
      </c>
      <c r="P73" s="88">
        <v>99.290538124226302</v>
      </c>
      <c r="Q73" s="88">
        <v>99.587865874935204</v>
      </c>
      <c r="R73" s="88">
        <v>99.805463422079654</v>
      </c>
      <c r="S73" s="88">
        <v>99.902419011897109</v>
      </c>
      <c r="T73" s="88">
        <v>99.970993448697925</v>
      </c>
      <c r="U73" s="88">
        <v>99.999999999999957</v>
      </c>
    </row>
    <row r="91" spans="2:7" x14ac:dyDescent="0.3">
      <c r="G91" t="s">
        <v>144</v>
      </c>
    </row>
    <row r="94" spans="2:7" x14ac:dyDescent="0.3">
      <c r="B94" t="s">
        <v>145</v>
      </c>
    </row>
    <row r="95" spans="2:7" ht="16.2" thickBot="1" x14ac:dyDescent="0.35"/>
    <row r="96" spans="2:7" x14ac:dyDescent="0.3">
      <c r="B96" s="74"/>
      <c r="C96" s="75" t="s">
        <v>122</v>
      </c>
      <c r="D96" s="75" t="s">
        <v>123</v>
      </c>
      <c r="E96" s="75" t="s">
        <v>124</v>
      </c>
      <c r="F96" s="75" t="s">
        <v>125</v>
      </c>
      <c r="G96" s="75" t="s">
        <v>126</v>
      </c>
    </row>
    <row r="97" spans="2:7" x14ac:dyDescent="0.3">
      <c r="B97" s="84" t="s">
        <v>44</v>
      </c>
      <c r="C97" s="86">
        <v>0.22292756178511028</v>
      </c>
      <c r="D97" s="86">
        <v>4.3526843747880344E-2</v>
      </c>
      <c r="E97" s="86">
        <v>-0.26681611214320511</v>
      </c>
      <c r="F97" s="86">
        <v>-0.35882487914333916</v>
      </c>
      <c r="G97" s="86">
        <v>-0.15866144389976772</v>
      </c>
    </row>
    <row r="98" spans="2:7" x14ac:dyDescent="0.3">
      <c r="B98" s="72" t="s">
        <v>42</v>
      </c>
      <c r="C98" s="87">
        <v>0.37662871049141827</v>
      </c>
      <c r="D98" s="87">
        <v>1.1484282281917667E-4</v>
      </c>
      <c r="E98" s="87">
        <v>-4.361284122921677E-2</v>
      </c>
      <c r="F98" s="87">
        <v>-6.6533074751547738E-2</v>
      </c>
      <c r="G98" s="87">
        <v>-0.18617553353509467</v>
      </c>
    </row>
    <row r="99" spans="2:7" x14ac:dyDescent="0.3">
      <c r="B99" s="72" t="s">
        <v>48</v>
      </c>
      <c r="C99" s="87">
        <v>6.9730888831752463E-2</v>
      </c>
      <c r="D99" s="87">
        <v>-4.8203482695394803E-2</v>
      </c>
      <c r="E99" s="87">
        <v>0.22628775716445529</v>
      </c>
      <c r="F99" s="87">
        <v>0.4508628209497611</v>
      </c>
      <c r="G99" s="87">
        <v>5.3862251488955924E-2</v>
      </c>
    </row>
    <row r="100" spans="2:7" x14ac:dyDescent="0.3">
      <c r="B100" s="72" t="s">
        <v>49</v>
      </c>
      <c r="C100" s="87">
        <v>4.8620443105049808E-2</v>
      </c>
      <c r="D100" s="87">
        <v>-0.11479175138335859</v>
      </c>
      <c r="E100" s="87">
        <v>-0.16708846641323327</v>
      </c>
      <c r="F100" s="87">
        <v>0.23629140954400044</v>
      </c>
      <c r="G100" s="87">
        <v>0.64015922865598229</v>
      </c>
    </row>
    <row r="101" spans="2:7" x14ac:dyDescent="0.3">
      <c r="B101" s="72" t="s">
        <v>116</v>
      </c>
      <c r="C101" s="87">
        <v>0.12531211070095377</v>
      </c>
      <c r="D101" s="87">
        <v>1.7636959307032074E-2</v>
      </c>
      <c r="E101" s="87">
        <v>-7.7409945540631034E-2</v>
      </c>
      <c r="F101" s="87">
        <v>0.54883937983359055</v>
      </c>
      <c r="G101" s="87">
        <v>2.3084055154443384E-2</v>
      </c>
    </row>
    <row r="102" spans="2:7" x14ac:dyDescent="0.3">
      <c r="B102" s="72" t="s">
        <v>51</v>
      </c>
      <c r="C102" s="87">
        <v>0.20203810700090563</v>
      </c>
      <c r="D102" s="87">
        <v>3.785525176777159E-3</v>
      </c>
      <c r="E102" s="87">
        <v>-0.30891642217792292</v>
      </c>
      <c r="F102" s="87">
        <v>0.16932376274887864</v>
      </c>
      <c r="G102" s="87">
        <v>-0.22143215556312498</v>
      </c>
    </row>
    <row r="103" spans="2:7" x14ac:dyDescent="0.3">
      <c r="B103" s="72" t="s">
        <v>52</v>
      </c>
      <c r="C103" s="87">
        <v>0.26588929917413823</v>
      </c>
      <c r="D103" s="87">
        <v>0.23719372526566349</v>
      </c>
      <c r="E103" s="87">
        <v>-0.19790408248314029</v>
      </c>
      <c r="F103" s="87">
        <v>-4.0672292568911708E-2</v>
      </c>
      <c r="G103" s="87">
        <v>-7.9823230031344922E-2</v>
      </c>
    </row>
    <row r="104" spans="2:7" x14ac:dyDescent="0.3">
      <c r="B104" s="72" t="s">
        <v>53</v>
      </c>
      <c r="C104" s="87">
        <v>0.18299354451398639</v>
      </c>
      <c r="D104" s="87">
        <v>-2.328493880664791E-2</v>
      </c>
      <c r="E104" s="87">
        <v>-0.35930279417091587</v>
      </c>
      <c r="F104" s="87">
        <v>-7.358992923328872E-2</v>
      </c>
      <c r="G104" s="87">
        <v>0.20751797194462057</v>
      </c>
    </row>
    <row r="105" spans="2:7" x14ac:dyDescent="0.3">
      <c r="B105" s="72" t="s">
        <v>54</v>
      </c>
      <c r="C105" s="87">
        <v>0.35069472122565565</v>
      </c>
      <c r="D105" s="87">
        <v>-6.693027729053215E-2</v>
      </c>
      <c r="E105" s="87">
        <v>0.17679036334296583</v>
      </c>
      <c r="F105" s="87">
        <v>5.1832328179682412E-2</v>
      </c>
      <c r="G105" s="87">
        <v>-1.370209470762861E-2</v>
      </c>
    </row>
    <row r="106" spans="2:7" x14ac:dyDescent="0.3">
      <c r="B106" s="72" t="s">
        <v>55</v>
      </c>
      <c r="C106" s="87">
        <v>0.29492102103344264</v>
      </c>
      <c r="D106" s="87">
        <v>-0.12390002288753328</v>
      </c>
      <c r="E106" s="87">
        <v>0.21571941424734153</v>
      </c>
      <c r="F106" s="87">
        <v>0.20271527437513601</v>
      </c>
      <c r="G106" s="87">
        <v>3.8664244827525861E-2</v>
      </c>
    </row>
    <row r="107" spans="2:7" x14ac:dyDescent="0.3">
      <c r="B107" s="72" t="s">
        <v>45</v>
      </c>
      <c r="C107" s="87">
        <v>0.37155149627145562</v>
      </c>
      <c r="D107" s="87">
        <v>-5.0251899946317895E-2</v>
      </c>
      <c r="E107" s="87">
        <v>-0.11868594255119437</v>
      </c>
      <c r="F107" s="87">
        <v>-4.2779515168829496E-2</v>
      </c>
      <c r="G107" s="87">
        <v>-0.11949154081401973</v>
      </c>
    </row>
    <row r="108" spans="2:7" x14ac:dyDescent="0.3">
      <c r="B108" s="72" t="s">
        <v>56</v>
      </c>
      <c r="C108" s="87">
        <v>0.34384113377272041</v>
      </c>
      <c r="D108" s="87">
        <v>4.2177851328508102E-3</v>
      </c>
      <c r="E108" s="87">
        <v>-0.13513585211427143</v>
      </c>
      <c r="F108" s="87">
        <v>0.1661880909823015</v>
      </c>
      <c r="G108" s="87">
        <v>-1.1425086096092548E-2</v>
      </c>
    </row>
    <row r="109" spans="2:7" x14ac:dyDescent="0.3">
      <c r="B109" s="72" t="s">
        <v>57</v>
      </c>
      <c r="C109" s="87">
        <v>9.5078567438575637E-2</v>
      </c>
      <c r="D109" s="87">
        <v>-0.35009531048088383</v>
      </c>
      <c r="E109" s="87">
        <v>7.6289902754849009E-2</v>
      </c>
      <c r="F109" s="87">
        <v>-0.34204597101454226</v>
      </c>
      <c r="G109" s="87">
        <v>0.29133205098406728</v>
      </c>
    </row>
    <row r="110" spans="2:7" x14ac:dyDescent="0.3">
      <c r="B110" s="72" t="s">
        <v>58</v>
      </c>
      <c r="C110" s="87">
        <v>0.12518637572676308</v>
      </c>
      <c r="D110" s="87">
        <v>-0.35763128540816641</v>
      </c>
      <c r="E110" s="87">
        <v>-0.15751793441277578</v>
      </c>
      <c r="F110" s="87">
        <v>-0.16493337244822467</v>
      </c>
      <c r="G110" s="87">
        <v>0.38055124282696506</v>
      </c>
    </row>
    <row r="111" spans="2:7" x14ac:dyDescent="0.3">
      <c r="B111" s="72" t="s">
        <v>43</v>
      </c>
      <c r="C111" s="87">
        <v>0.26411258685620309</v>
      </c>
      <c r="D111" s="87">
        <v>-0.14111345692533381</v>
      </c>
      <c r="E111" s="87">
        <v>0.39552497134220288</v>
      </c>
      <c r="F111" s="87">
        <v>-0.12876117021406261</v>
      </c>
      <c r="G111" s="87">
        <v>-5.0369389849137976E-2</v>
      </c>
    </row>
    <row r="112" spans="2:7" x14ac:dyDescent="0.3">
      <c r="B112" s="72" t="s">
        <v>59</v>
      </c>
      <c r="C112" s="87">
        <v>0.18212509015887779</v>
      </c>
      <c r="D112" s="87">
        <v>-0.14516625251076595</v>
      </c>
      <c r="E112" s="87">
        <v>0.48102677979168584</v>
      </c>
      <c r="F112" s="87">
        <v>-0.10408417479919993</v>
      </c>
      <c r="G112" s="87">
        <v>-4.4553190005330791E-2</v>
      </c>
    </row>
    <row r="113" spans="2:7" x14ac:dyDescent="0.3">
      <c r="B113" s="72" t="s">
        <v>60</v>
      </c>
      <c r="C113" s="87">
        <v>4.7544031910499995E-2</v>
      </c>
      <c r="D113" s="87">
        <v>0.44727620252138461</v>
      </c>
      <c r="E113" s="87">
        <v>0.13061884645871141</v>
      </c>
      <c r="F113" s="87">
        <v>-0.11177466121258024</v>
      </c>
      <c r="G113" s="87">
        <v>0.24944510872758727</v>
      </c>
    </row>
    <row r="114" spans="2:7" x14ac:dyDescent="0.3">
      <c r="B114" s="72" t="s">
        <v>61</v>
      </c>
      <c r="C114" s="87">
        <v>0.14754647514000627</v>
      </c>
      <c r="D114" s="87">
        <v>0.45436332206103275</v>
      </c>
      <c r="E114" s="87">
        <v>0.11757732696932252</v>
      </c>
      <c r="F114" s="87">
        <v>-8.6163230392278536E-2</v>
      </c>
      <c r="G114" s="87">
        <v>0.22669448529472538</v>
      </c>
    </row>
    <row r="115" spans="2:7" ht="16.2" thickBot="1" x14ac:dyDescent="0.35">
      <c r="B115" s="85" t="s">
        <v>62</v>
      </c>
      <c r="C115" s="88">
        <v>0.15037317253082372</v>
      </c>
      <c r="D115" s="88">
        <v>0.45293175269268443</v>
      </c>
      <c r="E115" s="88">
        <v>0.13643285177689182</v>
      </c>
      <c r="F115" s="88">
        <v>-7.7359495681989285E-2</v>
      </c>
      <c r="G115" s="88">
        <v>0.25404595708876415</v>
      </c>
    </row>
    <row r="118" spans="2:7" x14ac:dyDescent="0.3">
      <c r="B118" t="s">
        <v>146</v>
      </c>
    </row>
    <row r="119" spans="2:7" ht="16.2" thickBot="1" x14ac:dyDescent="0.35"/>
    <row r="120" spans="2:7" x14ac:dyDescent="0.3">
      <c r="B120" s="74"/>
      <c r="C120" s="75" t="s">
        <v>122</v>
      </c>
      <c r="D120" s="75" t="s">
        <v>123</v>
      </c>
      <c r="E120" s="75" t="s">
        <v>124</v>
      </c>
      <c r="F120" s="75" t="s">
        <v>125</v>
      </c>
      <c r="G120" s="75" t="s">
        <v>126</v>
      </c>
    </row>
    <row r="121" spans="2:7" x14ac:dyDescent="0.3">
      <c r="B121" s="84" t="s">
        <v>44</v>
      </c>
      <c r="C121" s="86">
        <v>0.55977163088532378</v>
      </c>
      <c r="D121" s="86">
        <v>7.9552841349007045E-2</v>
      </c>
      <c r="E121" s="86">
        <v>-0.42683145675163514</v>
      </c>
      <c r="F121" s="86">
        <v>-0.4517846788170356</v>
      </c>
      <c r="G121" s="86">
        <v>-0.16315752485079013</v>
      </c>
    </row>
    <row r="122" spans="2:7" x14ac:dyDescent="0.3">
      <c r="B122" s="72" t="s">
        <v>42</v>
      </c>
      <c r="C122" s="87">
        <v>0.94571557604546996</v>
      </c>
      <c r="D122" s="87">
        <v>2.0989513773901866E-4</v>
      </c>
      <c r="E122" s="87">
        <v>-6.9768397438282045E-2</v>
      </c>
      <c r="F122" s="87">
        <v>-8.3769620097413455E-2</v>
      </c>
      <c r="G122" s="87">
        <v>-0.19145129713146264</v>
      </c>
    </row>
    <row r="123" spans="2:7" x14ac:dyDescent="0.3">
      <c r="B123" s="72" t="s">
        <v>48</v>
      </c>
      <c r="C123" s="87">
        <v>0.17509442552491236</v>
      </c>
      <c r="D123" s="87">
        <v>-8.8100208541380662E-2</v>
      </c>
      <c r="E123" s="87">
        <v>0.36199737811832305</v>
      </c>
      <c r="F123" s="87">
        <v>0.56766664351599094</v>
      </c>
      <c r="G123" s="87">
        <v>5.5388577210860108E-2</v>
      </c>
    </row>
    <row r="124" spans="2:7" x14ac:dyDescent="0.3">
      <c r="B124" s="72" t="s">
        <v>49</v>
      </c>
      <c r="C124" s="87">
        <v>0.12208604675592274</v>
      </c>
      <c r="D124" s="87">
        <v>-0.20980179584970926</v>
      </c>
      <c r="E124" s="87">
        <v>-0.26729500311165244</v>
      </c>
      <c r="F124" s="87">
        <v>0.29750679167766542</v>
      </c>
      <c r="G124" s="87">
        <v>0.65829979036295649</v>
      </c>
    </row>
    <row r="125" spans="2:7" x14ac:dyDescent="0.3">
      <c r="B125" s="72" t="s">
        <v>116</v>
      </c>
      <c r="C125" s="87">
        <v>0.31465900409556408</v>
      </c>
      <c r="D125" s="87">
        <v>3.2234596051994746E-2</v>
      </c>
      <c r="E125" s="87">
        <v>-0.12383435002020633</v>
      </c>
      <c r="F125" s="87">
        <v>0.6910257269011959</v>
      </c>
      <c r="G125" s="87">
        <v>2.3738201354687283E-2</v>
      </c>
    </row>
    <row r="126" spans="2:7" x14ac:dyDescent="0.3">
      <c r="B126" s="72" t="s">
        <v>51</v>
      </c>
      <c r="C126" s="87">
        <v>0.50731816089164405</v>
      </c>
      <c r="D126" s="87">
        <v>6.9187025265412322E-3</v>
      </c>
      <c r="E126" s="87">
        <v>-0.49418022560023223</v>
      </c>
      <c r="F126" s="87">
        <v>0.21319001612214186</v>
      </c>
      <c r="G126" s="87">
        <v>-0.22770700641598965</v>
      </c>
    </row>
    <row r="127" spans="2:7" x14ac:dyDescent="0.3">
      <c r="B127" s="72" t="s">
        <v>52</v>
      </c>
      <c r="C127" s="87">
        <v>0.66764865430652298</v>
      </c>
      <c r="D127" s="87">
        <v>0.43351259062881603</v>
      </c>
      <c r="E127" s="87">
        <v>-0.31659140501244176</v>
      </c>
      <c r="F127" s="87">
        <v>-5.1209154389927361E-2</v>
      </c>
      <c r="G127" s="87">
        <v>-8.2085226992747437E-2</v>
      </c>
    </row>
    <row r="128" spans="2:7" x14ac:dyDescent="0.3">
      <c r="B128" s="72" t="s">
        <v>53</v>
      </c>
      <c r="C128" s="87">
        <v>0.45949721978667446</v>
      </c>
      <c r="D128" s="87">
        <v>-4.2557256240220852E-2</v>
      </c>
      <c r="E128" s="87">
        <v>-0.5747843854669199</v>
      </c>
      <c r="F128" s="87">
        <v>-9.2654674955101657E-2</v>
      </c>
      <c r="G128" s="87">
        <v>0.21339852854187702</v>
      </c>
    </row>
    <row r="129" spans="2:7" x14ac:dyDescent="0.3">
      <c r="B129" s="72" t="s">
        <v>54</v>
      </c>
      <c r="C129" s="87">
        <v>0.88059526812835343</v>
      </c>
      <c r="D129" s="87">
        <v>-0.12232666723045003</v>
      </c>
      <c r="E129" s="87">
        <v>0.28281533569767475</v>
      </c>
      <c r="F129" s="87">
        <v>6.5260390513899216E-2</v>
      </c>
      <c r="G129" s="87">
        <v>-1.4090378877303711E-2</v>
      </c>
    </row>
    <row r="130" spans="2:7" x14ac:dyDescent="0.3">
      <c r="B130" s="72" t="s">
        <v>55</v>
      </c>
      <c r="C130" s="87">
        <v>0.74054737603684506</v>
      </c>
      <c r="D130" s="87">
        <v>-0.22644873864510956</v>
      </c>
      <c r="E130" s="87">
        <v>0.34509097330442862</v>
      </c>
      <c r="F130" s="87">
        <v>0.25523217716543367</v>
      </c>
      <c r="G130" s="87">
        <v>3.9759895858941692E-2</v>
      </c>
    </row>
    <row r="131" spans="2:7" x14ac:dyDescent="0.3">
      <c r="B131" s="72" t="s">
        <v>45</v>
      </c>
      <c r="C131" s="87">
        <v>0.93296667922219489</v>
      </c>
      <c r="D131" s="87">
        <v>-9.1844045643908676E-2</v>
      </c>
      <c r="E131" s="87">
        <v>-0.18986444764579138</v>
      </c>
      <c r="F131" s="87">
        <v>-5.3862289500772223E-2</v>
      </c>
      <c r="G131" s="87">
        <v>-0.12287764160358287</v>
      </c>
    </row>
    <row r="132" spans="2:7" x14ac:dyDescent="0.3">
      <c r="B132" s="72" t="s">
        <v>56</v>
      </c>
      <c r="C132" s="87">
        <v>0.86338589394768173</v>
      </c>
      <c r="D132" s="87">
        <v>7.7087324195019534E-3</v>
      </c>
      <c r="E132" s="87">
        <v>-0.21617972075970421</v>
      </c>
      <c r="F132" s="87">
        <v>0.20924199427560541</v>
      </c>
      <c r="G132" s="87">
        <v>-1.1748845357938695E-2</v>
      </c>
    </row>
    <row r="133" spans="2:7" x14ac:dyDescent="0.3">
      <c r="B133" s="72" t="s">
        <v>57</v>
      </c>
      <c r="C133" s="87">
        <v>0.23874250600127694</v>
      </c>
      <c r="D133" s="87">
        <v>-0.63985978062269666</v>
      </c>
      <c r="E133" s="87">
        <v>0.12204259355527848</v>
      </c>
      <c r="F133" s="87">
        <v>-0.43065890393217626</v>
      </c>
      <c r="G133" s="87">
        <v>0.29958769553548859</v>
      </c>
    </row>
    <row r="134" spans="2:7" x14ac:dyDescent="0.3">
      <c r="B134" s="72" t="s">
        <v>58</v>
      </c>
      <c r="C134" s="87">
        <v>0.31434328328025329</v>
      </c>
      <c r="D134" s="87">
        <v>-0.65363307926278935</v>
      </c>
      <c r="E134" s="87">
        <v>-0.2519848178202525</v>
      </c>
      <c r="F134" s="87">
        <v>-0.20766221917395414</v>
      </c>
      <c r="G134" s="87">
        <v>0.39133514313511503</v>
      </c>
    </row>
    <row r="135" spans="2:7" x14ac:dyDescent="0.3">
      <c r="B135" s="72" t="s">
        <v>43</v>
      </c>
      <c r="C135" s="87">
        <v>0.66318732550598958</v>
      </c>
      <c r="D135" s="87">
        <v>-0.2579092689563024</v>
      </c>
      <c r="E135" s="87">
        <v>0.63272977911105699</v>
      </c>
      <c r="F135" s="87">
        <v>-0.162118981460112</v>
      </c>
      <c r="G135" s="87">
        <v>-5.1796736333885693E-2</v>
      </c>
    </row>
    <row r="136" spans="2:7" x14ac:dyDescent="0.3">
      <c r="B136" s="72" t="s">
        <v>59</v>
      </c>
      <c r="C136" s="87">
        <v>0.45731652886260998</v>
      </c>
      <c r="D136" s="87">
        <v>-0.26531645441857332</v>
      </c>
      <c r="E136" s="87">
        <v>0.7695088557651858</v>
      </c>
      <c r="F136" s="87">
        <v>-0.13104898298539741</v>
      </c>
      <c r="G136" s="87">
        <v>-4.5815719476679832E-2</v>
      </c>
    </row>
    <row r="137" spans="2:7" x14ac:dyDescent="0.3">
      <c r="B137" s="72" t="s">
        <v>60</v>
      </c>
      <c r="C137" s="87">
        <v>0.11938317571991694</v>
      </c>
      <c r="D137" s="87">
        <v>0.81747468262278544</v>
      </c>
      <c r="E137" s="87">
        <v>0.20895376994050008</v>
      </c>
      <c r="F137" s="87">
        <v>-0.14073182310091759</v>
      </c>
      <c r="G137" s="87">
        <v>0.25651377880967935</v>
      </c>
    </row>
    <row r="138" spans="2:7" x14ac:dyDescent="0.3">
      <c r="B138" s="72" t="s">
        <v>61</v>
      </c>
      <c r="C138" s="87">
        <v>0.37048954538926232</v>
      </c>
      <c r="D138" s="87">
        <v>0.83042762034610773</v>
      </c>
      <c r="E138" s="87">
        <v>0.18809097152402723</v>
      </c>
      <c r="F138" s="87">
        <v>-0.10848530754486399</v>
      </c>
      <c r="G138" s="87">
        <v>0.23311845782380014</v>
      </c>
    </row>
    <row r="139" spans="2:7" ht="16.2" thickBot="1" x14ac:dyDescent="0.35">
      <c r="B139" s="85" t="s">
        <v>62</v>
      </c>
      <c r="C139" s="88">
        <v>0.37758738917226853</v>
      </c>
      <c r="D139" s="88">
        <v>0.82781117952398042</v>
      </c>
      <c r="E139" s="88">
        <v>0.21825455893553938</v>
      </c>
      <c r="F139" s="88">
        <v>-9.7400812880017812E-2</v>
      </c>
      <c r="G139" s="88">
        <v>0.26124500406751611</v>
      </c>
    </row>
    <row r="142" spans="2:7" x14ac:dyDescent="0.3">
      <c r="B142" t="s">
        <v>147</v>
      </c>
    </row>
    <row r="143" spans="2:7" ht="16.2" thickBot="1" x14ac:dyDescent="0.35"/>
    <row r="144" spans="2:7" x14ac:dyDescent="0.3">
      <c r="B144" s="74"/>
      <c r="C144" s="75" t="s">
        <v>122</v>
      </c>
      <c r="D144" s="75" t="s">
        <v>123</v>
      </c>
      <c r="E144" s="75" t="s">
        <v>124</v>
      </c>
      <c r="F144" s="75" t="s">
        <v>125</v>
      </c>
      <c r="G144" s="75" t="s">
        <v>126</v>
      </c>
    </row>
    <row r="145" spans="2:7" x14ac:dyDescent="0.3">
      <c r="B145" s="84" t="s">
        <v>44</v>
      </c>
      <c r="C145" s="86">
        <v>0.55977163088532378</v>
      </c>
      <c r="D145" s="86">
        <v>7.9552841349007045E-2</v>
      </c>
      <c r="E145" s="86">
        <v>-0.42683145675163514</v>
      </c>
      <c r="F145" s="86">
        <v>-0.4517846788170356</v>
      </c>
      <c r="G145" s="86">
        <v>-0.16315752485079013</v>
      </c>
    </row>
    <row r="146" spans="2:7" x14ac:dyDescent="0.3">
      <c r="B146" s="72" t="s">
        <v>42</v>
      </c>
      <c r="C146" s="87">
        <v>0.94571557604546996</v>
      </c>
      <c r="D146" s="87">
        <v>2.0989513773901866E-4</v>
      </c>
      <c r="E146" s="87">
        <v>-6.9768397438282045E-2</v>
      </c>
      <c r="F146" s="87">
        <v>-8.3769620097413455E-2</v>
      </c>
      <c r="G146" s="87">
        <v>-0.19145129713146264</v>
      </c>
    </row>
    <row r="147" spans="2:7" x14ac:dyDescent="0.3">
      <c r="B147" s="72" t="s">
        <v>48</v>
      </c>
      <c r="C147" s="87">
        <v>0.17509442552491236</v>
      </c>
      <c r="D147" s="87">
        <v>-8.8100208541380662E-2</v>
      </c>
      <c r="E147" s="87">
        <v>0.36199737811832305</v>
      </c>
      <c r="F147" s="87">
        <v>0.56766664351599094</v>
      </c>
      <c r="G147" s="87">
        <v>5.5388577210860108E-2</v>
      </c>
    </row>
    <row r="148" spans="2:7" x14ac:dyDescent="0.3">
      <c r="B148" s="72" t="s">
        <v>49</v>
      </c>
      <c r="C148" s="87">
        <v>0.12208604675592274</v>
      </c>
      <c r="D148" s="87">
        <v>-0.20980179584970926</v>
      </c>
      <c r="E148" s="87">
        <v>-0.26729500311165244</v>
      </c>
      <c r="F148" s="87">
        <v>0.29750679167766542</v>
      </c>
      <c r="G148" s="87">
        <v>0.65829979036295649</v>
      </c>
    </row>
    <row r="149" spans="2:7" x14ac:dyDescent="0.3">
      <c r="B149" s="72" t="s">
        <v>116</v>
      </c>
      <c r="C149" s="87">
        <v>0.31465900409556408</v>
      </c>
      <c r="D149" s="87">
        <v>3.2234596051994746E-2</v>
      </c>
      <c r="E149" s="87">
        <v>-0.12383435002020633</v>
      </c>
      <c r="F149" s="87">
        <v>0.6910257269011959</v>
      </c>
      <c r="G149" s="87">
        <v>2.3738201354687283E-2</v>
      </c>
    </row>
    <row r="150" spans="2:7" x14ac:dyDescent="0.3">
      <c r="B150" s="72" t="s">
        <v>51</v>
      </c>
      <c r="C150" s="87">
        <v>0.50731816089164405</v>
      </c>
      <c r="D150" s="87">
        <v>6.9187025265412322E-3</v>
      </c>
      <c r="E150" s="87">
        <v>-0.49418022560023223</v>
      </c>
      <c r="F150" s="87">
        <v>0.21319001612214186</v>
      </c>
      <c r="G150" s="87">
        <v>-0.22770700641598965</v>
      </c>
    </row>
    <row r="151" spans="2:7" x14ac:dyDescent="0.3">
      <c r="B151" s="72" t="s">
        <v>52</v>
      </c>
      <c r="C151" s="87">
        <v>0.66764865430652298</v>
      </c>
      <c r="D151" s="87">
        <v>0.43351259062881603</v>
      </c>
      <c r="E151" s="87">
        <v>-0.31659140501244176</v>
      </c>
      <c r="F151" s="87">
        <v>-5.1209154389927361E-2</v>
      </c>
      <c r="G151" s="87">
        <v>-8.2085226992747437E-2</v>
      </c>
    </row>
    <row r="152" spans="2:7" x14ac:dyDescent="0.3">
      <c r="B152" s="72" t="s">
        <v>53</v>
      </c>
      <c r="C152" s="87">
        <v>0.45949721978667446</v>
      </c>
      <c r="D152" s="87">
        <v>-4.2557256240220852E-2</v>
      </c>
      <c r="E152" s="87">
        <v>-0.5747843854669199</v>
      </c>
      <c r="F152" s="87">
        <v>-9.2654674955101657E-2</v>
      </c>
      <c r="G152" s="87">
        <v>0.21339852854187702</v>
      </c>
    </row>
    <row r="153" spans="2:7" x14ac:dyDescent="0.3">
      <c r="B153" s="72" t="s">
        <v>54</v>
      </c>
      <c r="C153" s="87">
        <v>0.88059526812835343</v>
      </c>
      <c r="D153" s="87">
        <v>-0.12232666723045003</v>
      </c>
      <c r="E153" s="87">
        <v>0.28281533569767475</v>
      </c>
      <c r="F153" s="87">
        <v>6.5260390513899216E-2</v>
      </c>
      <c r="G153" s="87">
        <v>-1.4090378877303711E-2</v>
      </c>
    </row>
    <row r="154" spans="2:7" x14ac:dyDescent="0.3">
      <c r="B154" s="72" t="s">
        <v>55</v>
      </c>
      <c r="C154" s="87">
        <v>0.74054737603684506</v>
      </c>
      <c r="D154" s="87">
        <v>-0.22644873864510956</v>
      </c>
      <c r="E154" s="87">
        <v>0.34509097330442862</v>
      </c>
      <c r="F154" s="87">
        <v>0.25523217716543367</v>
      </c>
      <c r="G154" s="87">
        <v>3.9759895858941692E-2</v>
      </c>
    </row>
    <row r="155" spans="2:7" x14ac:dyDescent="0.3">
      <c r="B155" s="72" t="s">
        <v>45</v>
      </c>
      <c r="C155" s="87">
        <v>0.93296667922219489</v>
      </c>
      <c r="D155" s="87">
        <v>-9.1844045643908676E-2</v>
      </c>
      <c r="E155" s="87">
        <v>-0.18986444764579138</v>
      </c>
      <c r="F155" s="87">
        <v>-5.3862289500772223E-2</v>
      </c>
      <c r="G155" s="87">
        <v>-0.12287764160358287</v>
      </c>
    </row>
    <row r="156" spans="2:7" x14ac:dyDescent="0.3">
      <c r="B156" s="72" t="s">
        <v>56</v>
      </c>
      <c r="C156" s="87">
        <v>0.86338589394768173</v>
      </c>
      <c r="D156" s="87">
        <v>7.7087324195019534E-3</v>
      </c>
      <c r="E156" s="87">
        <v>-0.21617972075970421</v>
      </c>
      <c r="F156" s="87">
        <v>0.20924199427560541</v>
      </c>
      <c r="G156" s="87">
        <v>-1.1748845357938695E-2</v>
      </c>
    </row>
    <row r="157" spans="2:7" x14ac:dyDescent="0.3">
      <c r="B157" s="72" t="s">
        <v>57</v>
      </c>
      <c r="C157" s="87">
        <v>0.23874250600127694</v>
      </c>
      <c r="D157" s="87">
        <v>-0.63985978062269666</v>
      </c>
      <c r="E157" s="87">
        <v>0.12204259355527848</v>
      </c>
      <c r="F157" s="87">
        <v>-0.43065890393217626</v>
      </c>
      <c r="G157" s="87">
        <v>0.29958769553548859</v>
      </c>
    </row>
    <row r="158" spans="2:7" x14ac:dyDescent="0.3">
      <c r="B158" s="72" t="s">
        <v>58</v>
      </c>
      <c r="C158" s="87">
        <v>0.31434328328025329</v>
      </c>
      <c r="D158" s="87">
        <v>-0.65363307926278935</v>
      </c>
      <c r="E158" s="87">
        <v>-0.2519848178202525</v>
      </c>
      <c r="F158" s="87">
        <v>-0.20766221917395414</v>
      </c>
      <c r="G158" s="87">
        <v>0.39133514313511503</v>
      </c>
    </row>
    <row r="159" spans="2:7" x14ac:dyDescent="0.3">
      <c r="B159" s="72" t="s">
        <v>43</v>
      </c>
      <c r="C159" s="87">
        <v>0.66318732550598958</v>
      </c>
      <c r="D159" s="87">
        <v>-0.2579092689563024</v>
      </c>
      <c r="E159" s="87">
        <v>0.63272977911105699</v>
      </c>
      <c r="F159" s="87">
        <v>-0.162118981460112</v>
      </c>
      <c r="G159" s="87">
        <v>-5.1796736333885693E-2</v>
      </c>
    </row>
    <row r="160" spans="2:7" x14ac:dyDescent="0.3">
      <c r="B160" s="72" t="s">
        <v>59</v>
      </c>
      <c r="C160" s="87">
        <v>0.45731652886260998</v>
      </c>
      <c r="D160" s="87">
        <v>-0.26531645441857332</v>
      </c>
      <c r="E160" s="87">
        <v>0.7695088557651858</v>
      </c>
      <c r="F160" s="87">
        <v>-0.13104898298539741</v>
      </c>
      <c r="G160" s="87">
        <v>-4.5815719476679832E-2</v>
      </c>
    </row>
    <row r="161" spans="2:7" x14ac:dyDescent="0.3">
      <c r="B161" s="72" t="s">
        <v>60</v>
      </c>
      <c r="C161" s="87">
        <v>0.11938317571991694</v>
      </c>
      <c r="D161" s="87">
        <v>0.81747468262278544</v>
      </c>
      <c r="E161" s="87">
        <v>0.20895376994050008</v>
      </c>
      <c r="F161" s="87">
        <v>-0.14073182310091759</v>
      </c>
      <c r="G161" s="87">
        <v>0.25651377880967935</v>
      </c>
    </row>
    <row r="162" spans="2:7" x14ac:dyDescent="0.3">
      <c r="B162" s="72" t="s">
        <v>61</v>
      </c>
      <c r="C162" s="87">
        <v>0.37048954538926232</v>
      </c>
      <c r="D162" s="87">
        <v>0.83042762034610773</v>
      </c>
      <c r="E162" s="87">
        <v>0.18809097152402723</v>
      </c>
      <c r="F162" s="87">
        <v>-0.10848530754486399</v>
      </c>
      <c r="G162" s="87">
        <v>0.23311845782380014</v>
      </c>
    </row>
    <row r="163" spans="2:7" ht="16.2" thickBot="1" x14ac:dyDescent="0.35">
      <c r="B163" s="85" t="s">
        <v>62</v>
      </c>
      <c r="C163" s="88">
        <v>0.37758738917226853</v>
      </c>
      <c r="D163" s="88">
        <v>0.82781117952398042</v>
      </c>
      <c r="E163" s="88">
        <v>0.21825455893553938</v>
      </c>
      <c r="F163" s="88">
        <v>-9.7400812880017812E-2</v>
      </c>
      <c r="G163" s="88">
        <v>0.26124500406751611</v>
      </c>
    </row>
    <row r="181" spans="2:7" x14ac:dyDescent="0.3">
      <c r="F181" t="s">
        <v>144</v>
      </c>
    </row>
    <row r="184" spans="2:7" x14ac:dyDescent="0.3">
      <c r="B184" t="s">
        <v>148</v>
      </c>
    </row>
    <row r="185" spans="2:7" ht="16.2" thickBot="1" x14ac:dyDescent="0.35"/>
    <row r="186" spans="2:7" x14ac:dyDescent="0.3">
      <c r="B186" s="74"/>
      <c r="C186" s="75" t="s">
        <v>122</v>
      </c>
      <c r="D186" s="75" t="s">
        <v>123</v>
      </c>
      <c r="E186" s="75" t="s">
        <v>124</v>
      </c>
      <c r="F186" s="75" t="s">
        <v>125</v>
      </c>
      <c r="G186" s="75" t="s">
        <v>126</v>
      </c>
    </row>
    <row r="187" spans="2:7" x14ac:dyDescent="0.3">
      <c r="B187" s="84" t="s">
        <v>44</v>
      </c>
      <c r="C187" s="86">
        <v>4.9696697803454146</v>
      </c>
      <c r="D187" s="86">
        <v>0.189458612665239</v>
      </c>
      <c r="E187" s="86">
        <v>7.1190837699215415</v>
      </c>
      <c r="F187" s="86">
        <v>12.875529389223193</v>
      </c>
      <c r="G187" s="86">
        <v>2.5173453780359143</v>
      </c>
    </row>
    <row r="188" spans="2:7" x14ac:dyDescent="0.3">
      <c r="B188" s="72" t="s">
        <v>42</v>
      </c>
      <c r="C188" s="87">
        <v>14.184918556642852</v>
      </c>
      <c r="D188" s="87">
        <v>1.318887395307681E-6</v>
      </c>
      <c r="E188" s="87">
        <v>0.19020799200848701</v>
      </c>
      <c r="F188" s="87">
        <v>0.44266500358950395</v>
      </c>
      <c r="G188" s="87">
        <v>3.4661329287077169</v>
      </c>
    </row>
    <row r="189" spans="2:7" x14ac:dyDescent="0.3">
      <c r="B189" s="72" t="s">
        <v>48</v>
      </c>
      <c r="C189" s="87">
        <v>0.48623968572662207</v>
      </c>
      <c r="D189" s="87">
        <v>0.23235757439652266</v>
      </c>
      <c r="E189" s="87">
        <v>5.1206149042519487</v>
      </c>
      <c r="F189" s="87">
        <v>20.32772833147763</v>
      </c>
      <c r="G189" s="87">
        <v>0.29011421354595351</v>
      </c>
    </row>
    <row r="190" spans="2:7" x14ac:dyDescent="0.3">
      <c r="B190" s="72" t="s">
        <v>49</v>
      </c>
      <c r="C190" s="87">
        <v>0.23639474877313854</v>
      </c>
      <c r="D190" s="87">
        <v>1.317714618565881</v>
      </c>
      <c r="E190" s="87">
        <v>2.7918555608326185</v>
      </c>
      <c r="F190" s="87">
        <v>5.5833630224290545</v>
      </c>
      <c r="G190" s="87">
        <v>40.980383803342235</v>
      </c>
    </row>
    <row r="191" spans="2:7" x14ac:dyDescent="0.3">
      <c r="B191" s="72" t="s">
        <v>116</v>
      </c>
      <c r="C191" s="87">
        <v>1.5703125088328092</v>
      </c>
      <c r="D191" s="87">
        <v>3.1106233359790538E-2</v>
      </c>
      <c r="E191" s="87">
        <v>0.59922996686034624</v>
      </c>
      <c r="F191" s="87">
        <v>30.122466485612016</v>
      </c>
      <c r="G191" s="87">
        <v>5.3287360237338433E-2</v>
      </c>
    </row>
    <row r="192" spans="2:7" x14ac:dyDescent="0.3">
      <c r="B192" s="72" t="s">
        <v>51</v>
      </c>
      <c r="C192" s="87">
        <v>4.0819396680509383</v>
      </c>
      <c r="D192" s="87">
        <v>1.433020086401374E-3</v>
      </c>
      <c r="E192" s="87">
        <v>9.5429355891208711</v>
      </c>
      <c r="F192" s="87">
        <v>2.8670536631438543</v>
      </c>
      <c r="G192" s="87">
        <v>4.9032199517331989</v>
      </c>
    </row>
    <row r="193" spans="2:7" x14ac:dyDescent="0.3">
      <c r="B193" s="72" t="s">
        <v>52</v>
      </c>
      <c r="C193" s="87">
        <v>7.0697119415314367</v>
      </c>
      <c r="D193" s="87">
        <v>5.6260863305403053</v>
      </c>
      <c r="E193" s="87">
        <v>3.9166025863493603</v>
      </c>
      <c r="F193" s="87">
        <v>0.16542353828111506</v>
      </c>
      <c r="G193" s="87">
        <v>0.63717480526370074</v>
      </c>
    </row>
    <row r="194" spans="2:7" x14ac:dyDescent="0.3">
      <c r="B194" s="72" t="s">
        <v>53</v>
      </c>
      <c r="C194" s="87">
        <v>3.3486637333792322</v>
      </c>
      <c r="D194" s="87">
        <v>5.4218837522933792E-2</v>
      </c>
      <c r="E194" s="87">
        <v>12.909849789902754</v>
      </c>
      <c r="F194" s="87">
        <v>0.54154776845604413</v>
      </c>
      <c r="G194" s="87">
        <v>4.3063708680008341</v>
      </c>
    </row>
    <row r="195" spans="2:7" x14ac:dyDescent="0.3">
      <c r="B195" s="72" t="s">
        <v>54</v>
      </c>
      <c r="C195" s="87">
        <v>12.298678749554034</v>
      </c>
      <c r="D195" s="87">
        <v>0.44796620181875241</v>
      </c>
      <c r="E195" s="87">
        <v>3.1254832570937885</v>
      </c>
      <c r="F195" s="87">
        <v>0.2686590244526299</v>
      </c>
      <c r="G195" s="87">
        <v>1.8774739937682399E-2</v>
      </c>
    </row>
    <row r="196" spans="2:7" x14ac:dyDescent="0.3">
      <c r="B196" s="72" t="s">
        <v>55</v>
      </c>
      <c r="C196" s="87">
        <v>8.6978408647408312</v>
      </c>
      <c r="D196" s="87">
        <v>1.5351215671531273</v>
      </c>
      <c r="E196" s="87">
        <v>4.6534865683216147</v>
      </c>
      <c r="F196" s="87">
        <v>4.1093482464986657</v>
      </c>
      <c r="G196" s="87">
        <v>0.14949238280828606</v>
      </c>
    </row>
    <row r="197" spans="2:7" x14ac:dyDescent="0.3">
      <c r="B197" s="72" t="s">
        <v>45</v>
      </c>
      <c r="C197" s="87">
        <v>13.805051438155747</v>
      </c>
      <c r="D197" s="87">
        <v>0.25252534482147443</v>
      </c>
      <c r="E197" s="87">
        <v>1.4086352959265411</v>
      </c>
      <c r="F197" s="87">
        <v>0.1830086918080113</v>
      </c>
      <c r="G197" s="87">
        <v>1.4278228326108546</v>
      </c>
    </row>
    <row r="198" spans="2:7" x14ac:dyDescent="0.3">
      <c r="B198" s="72" t="s">
        <v>56</v>
      </c>
      <c r="C198" s="87">
        <v>11.82267252741098</v>
      </c>
      <c r="D198" s="87">
        <v>1.7789711426897329E-3</v>
      </c>
      <c r="E198" s="87">
        <v>1.8261698526650236</v>
      </c>
      <c r="F198" s="87">
        <v>2.7618481584341716</v>
      </c>
      <c r="G198" s="87">
        <v>1.3053259230312728E-2</v>
      </c>
    </row>
    <row r="199" spans="2:7" x14ac:dyDescent="0.3">
      <c r="B199" s="72" t="s">
        <v>57</v>
      </c>
      <c r="C199" s="87">
        <v>0.90399339861717742</v>
      </c>
      <c r="D199" s="87">
        <v>12.256672642070644</v>
      </c>
      <c r="E199" s="87">
        <v>0.58201492623443185</v>
      </c>
      <c r="F199" s="87">
        <v>11.699544628728107</v>
      </c>
      <c r="G199" s="87">
        <v>8.487436393058319</v>
      </c>
    </row>
    <row r="200" spans="2:7" x14ac:dyDescent="0.3">
      <c r="B200" s="72" t="s">
        <v>58</v>
      </c>
      <c r="C200" s="87">
        <v>1.56716286676023</v>
      </c>
      <c r="D200" s="87">
        <v>12.790013630269737</v>
      </c>
      <c r="E200" s="87">
        <v>2.4811899661667534</v>
      </c>
      <c r="F200" s="87">
        <v>2.7203017347144791</v>
      </c>
      <c r="G200" s="87">
        <v>14.481924841714775</v>
      </c>
    </row>
    <row r="201" spans="2:7" x14ac:dyDescent="0.3">
      <c r="B201" s="72" t="s">
        <v>43</v>
      </c>
      <c r="C201" s="87">
        <v>6.9755458535875396</v>
      </c>
      <c r="D201" s="87">
        <v>1.9913007725418044</v>
      </c>
      <c r="E201" s="87">
        <v>15.644000295525041</v>
      </c>
      <c r="F201" s="87">
        <v>1.6579438954894803</v>
      </c>
      <c r="G201" s="87">
        <v>0.25370754337744439</v>
      </c>
    </row>
    <row r="202" spans="2:7" x14ac:dyDescent="0.3">
      <c r="B202" s="72" t="s">
        <v>59</v>
      </c>
      <c r="C202" s="87">
        <v>3.3169548465379353</v>
      </c>
      <c r="D202" s="87">
        <v>2.1073240868019458</v>
      </c>
      <c r="E202" s="87">
        <v>23.138676287675899</v>
      </c>
      <c r="F202" s="87">
        <v>1.0833515443630406</v>
      </c>
      <c r="G202" s="87">
        <v>0.19849867396511078</v>
      </c>
    </row>
    <row r="203" spans="2:7" x14ac:dyDescent="0.3">
      <c r="B203" s="72" t="s">
        <v>60</v>
      </c>
      <c r="C203" s="87">
        <v>0.2260434970306642</v>
      </c>
      <c r="D203" s="87">
        <v>20.005600134195067</v>
      </c>
      <c r="E203" s="87">
        <v>1.7061283050204428</v>
      </c>
      <c r="F203" s="87">
        <v>1.2493574889187091</v>
      </c>
      <c r="G203" s="87">
        <v>6.2222862268117849</v>
      </c>
    </row>
    <row r="204" spans="2:7" x14ac:dyDescent="0.3">
      <c r="B204" s="72" t="s">
        <v>61</v>
      </c>
      <c r="C204" s="87">
        <v>2.1769962326240484</v>
      </c>
      <c r="D204" s="87">
        <v>20.64460284343378</v>
      </c>
      <c r="E204" s="87">
        <v>1.3824427817250982</v>
      </c>
      <c r="F204" s="87">
        <v>0.74241022716328697</v>
      </c>
      <c r="G204" s="87">
        <v>5.1390389663040468</v>
      </c>
    </row>
    <row r="205" spans="2:7" ht="16.2" thickBot="1" x14ac:dyDescent="0.35">
      <c r="B205" s="85" t="s">
        <v>62</v>
      </c>
      <c r="C205" s="88">
        <v>2.2612091016984874</v>
      </c>
      <c r="D205" s="88">
        <v>20.514717259726709</v>
      </c>
      <c r="E205" s="88">
        <v>1.8613923043975336</v>
      </c>
      <c r="F205" s="88">
        <v>0.59844915721717173</v>
      </c>
      <c r="G205" s="88">
        <v>6.4539348313146201</v>
      </c>
    </row>
    <row r="208" spans="2:7" x14ac:dyDescent="0.3">
      <c r="B208" t="s">
        <v>149</v>
      </c>
    </row>
    <row r="209" spans="2:7" ht="16.2" thickBot="1" x14ac:dyDescent="0.35"/>
    <row r="210" spans="2:7" x14ac:dyDescent="0.3">
      <c r="B210" s="74"/>
      <c r="C210" s="75" t="s">
        <v>122</v>
      </c>
      <c r="D210" s="75" t="s">
        <v>123</v>
      </c>
      <c r="E210" s="75" t="s">
        <v>124</v>
      </c>
      <c r="F210" s="75" t="s">
        <v>125</v>
      </c>
      <c r="G210" s="75" t="s">
        <v>126</v>
      </c>
    </row>
    <row r="211" spans="2:7" x14ac:dyDescent="0.3">
      <c r="B211" s="84" t="s">
        <v>44</v>
      </c>
      <c r="C211" s="89">
        <v>0.31334427874401471</v>
      </c>
      <c r="D211" s="86">
        <v>6.3286545667002765E-3</v>
      </c>
      <c r="E211" s="86">
        <v>0.18218509247272274</v>
      </c>
      <c r="F211" s="86">
        <v>0.20410939601381173</v>
      </c>
      <c r="G211" s="86">
        <v>2.6620377915436165E-2</v>
      </c>
    </row>
    <row r="212" spans="2:7" x14ac:dyDescent="0.3">
      <c r="B212" s="72" t="s">
        <v>42</v>
      </c>
      <c r="C212" s="91">
        <v>0.89437795077501403</v>
      </c>
      <c r="D212" s="87">
        <v>4.4055968846481566E-8</v>
      </c>
      <c r="E212" s="87">
        <v>4.8676292811060751E-3</v>
      </c>
      <c r="F212" s="87">
        <v>7.0173492512649689E-3</v>
      </c>
      <c r="G212" s="87">
        <v>3.6653599173319555E-2</v>
      </c>
    </row>
    <row r="213" spans="2:7" x14ac:dyDescent="0.3">
      <c r="B213" s="72" t="s">
        <v>48</v>
      </c>
      <c r="C213" s="87">
        <v>3.0658057849899046E-2</v>
      </c>
      <c r="D213" s="87">
        <v>7.7616467450347532E-3</v>
      </c>
      <c r="E213" s="87">
        <v>0.13104210176454001</v>
      </c>
      <c r="F213" s="91">
        <v>0.32224541816071078</v>
      </c>
      <c r="G213" s="87">
        <v>3.0678944854434084E-3</v>
      </c>
    </row>
    <row r="214" spans="2:7" x14ac:dyDescent="0.3">
      <c r="B214" s="72" t="s">
        <v>49</v>
      </c>
      <c r="C214" s="87">
        <v>1.4905002812489361E-2</v>
      </c>
      <c r="D214" s="87">
        <v>4.4016793541763105E-2</v>
      </c>
      <c r="E214" s="87">
        <v>7.1446618688458322E-2</v>
      </c>
      <c r="F214" s="87">
        <v>8.8510291094337848E-2</v>
      </c>
      <c r="G214" s="91">
        <v>0.43335861399191261</v>
      </c>
    </row>
    <row r="215" spans="2:7" x14ac:dyDescent="0.3">
      <c r="B215" s="72" t="s">
        <v>116</v>
      </c>
      <c r="C215" s="87">
        <v>9.9010288858412135E-2</v>
      </c>
      <c r="D215" s="87">
        <v>1.0390691826352746E-3</v>
      </c>
      <c r="E215" s="87">
        <v>1.5334946244926966E-2</v>
      </c>
      <c r="F215" s="91">
        <v>0.47751655523932585</v>
      </c>
      <c r="G215" s="87">
        <v>5.6350220355567688E-4</v>
      </c>
    </row>
    <row r="216" spans="2:7" x14ac:dyDescent="0.3">
      <c r="B216" s="72" t="s">
        <v>51</v>
      </c>
      <c r="C216" s="91">
        <v>0.25737171637047995</v>
      </c>
      <c r="D216" s="87">
        <v>4.7868444650768011E-5</v>
      </c>
      <c r="E216" s="87">
        <v>0.24421409537429631</v>
      </c>
      <c r="F216" s="87">
        <v>4.5449982974159087E-2</v>
      </c>
      <c r="G216" s="87">
        <v>5.1850480770931531E-2</v>
      </c>
    </row>
    <row r="217" spans="2:7" x14ac:dyDescent="0.3">
      <c r="B217" s="72" t="s">
        <v>52</v>
      </c>
      <c r="C217" s="91">
        <v>0.44575472559731066</v>
      </c>
      <c r="D217" s="87">
        <v>0.18793316623370726</v>
      </c>
      <c r="E217" s="87">
        <v>0.10023011772775185</v>
      </c>
      <c r="F217" s="87">
        <v>2.6223774933314147E-3</v>
      </c>
      <c r="G217" s="87">
        <v>6.7379844904508664E-3</v>
      </c>
    </row>
    <row r="218" spans="2:7" x14ac:dyDescent="0.3">
      <c r="B218" s="72" t="s">
        <v>53</v>
      </c>
      <c r="C218" s="87">
        <v>0.21113769499168347</v>
      </c>
      <c r="D218" s="87">
        <v>1.8111200586958171E-3</v>
      </c>
      <c r="E218" s="91">
        <v>0.33037708977658481</v>
      </c>
      <c r="F218" s="87">
        <v>8.5848887910355432E-3</v>
      </c>
      <c r="G218" s="87">
        <v>4.5538931983838307E-2</v>
      </c>
    </row>
    <row r="219" spans="2:7" x14ac:dyDescent="0.3">
      <c r="B219" s="72" t="s">
        <v>54</v>
      </c>
      <c r="C219" s="91">
        <v>0.77544802625004594</v>
      </c>
      <c r="D219" s="87">
        <v>1.4963813515709244E-2</v>
      </c>
      <c r="E219" s="87">
        <v>7.9984514105788398E-2</v>
      </c>
      <c r="F219" s="87">
        <v>4.2589185700266236E-3</v>
      </c>
      <c r="G219" s="87">
        <v>1.985387769059664E-4</v>
      </c>
    </row>
    <row r="220" spans="2:7" x14ac:dyDescent="0.3">
      <c r="B220" s="72" t="s">
        <v>55</v>
      </c>
      <c r="C220" s="91">
        <v>0.54841041615505581</v>
      </c>
      <c r="D220" s="87">
        <v>5.1279031233961082E-2</v>
      </c>
      <c r="E220" s="87">
        <v>0.11908777985619773</v>
      </c>
      <c r="F220" s="87">
        <v>6.5143464260607256E-2</v>
      </c>
      <c r="G220" s="87">
        <v>1.5808493187138869E-3</v>
      </c>
    </row>
    <row r="221" spans="2:7" x14ac:dyDescent="0.3">
      <c r="B221" s="72" t="s">
        <v>45</v>
      </c>
      <c r="C221" s="91">
        <v>0.87042682453888931</v>
      </c>
      <c r="D221" s="87">
        <v>8.4353287202403749E-3</v>
      </c>
      <c r="E221" s="87">
        <v>3.6048508479841437E-2</v>
      </c>
      <c r="F221" s="87">
        <v>2.9011462302649957E-3</v>
      </c>
      <c r="G221" s="87">
        <v>1.509891480605855E-2</v>
      </c>
    </row>
    <row r="222" spans="2:7" x14ac:dyDescent="0.3">
      <c r="B222" s="72" t="s">
        <v>56</v>
      </c>
      <c r="C222" s="91">
        <v>0.74543520186783652</v>
      </c>
      <c r="D222" s="87">
        <v>5.9424555515480362E-5</v>
      </c>
      <c r="E222" s="87">
        <v>4.6733671667743622E-2</v>
      </c>
      <c r="F222" s="87">
        <v>4.3782212168432436E-2</v>
      </c>
      <c r="G222" s="87">
        <v>1.3803536724475745E-4</v>
      </c>
    </row>
    <row r="223" spans="2:7" x14ac:dyDescent="0.3">
      <c r="B223" s="72" t="s">
        <v>57</v>
      </c>
      <c r="C223" s="87">
        <v>5.6997984171769656E-2</v>
      </c>
      <c r="D223" s="91">
        <v>0.40942053885852475</v>
      </c>
      <c r="E223" s="87">
        <v>1.4894394641698875E-2</v>
      </c>
      <c r="F223" s="87">
        <v>0.18546709153606308</v>
      </c>
      <c r="G223" s="87">
        <v>8.975278731626446E-2</v>
      </c>
    </row>
    <row r="224" spans="2:7" x14ac:dyDescent="0.3">
      <c r="B224" s="72" t="s">
        <v>58</v>
      </c>
      <c r="C224" s="87">
        <v>9.8811699743409448E-2</v>
      </c>
      <c r="D224" s="91">
        <v>0.42723620230655529</v>
      </c>
      <c r="E224" s="87">
        <v>6.3496348411905768E-2</v>
      </c>
      <c r="F224" s="87">
        <v>4.3123597272251311E-2</v>
      </c>
      <c r="G224" s="87">
        <v>0.15314319425258077</v>
      </c>
    </row>
    <row r="225" spans="2:7" x14ac:dyDescent="0.3">
      <c r="B225" s="72" t="s">
        <v>43</v>
      </c>
      <c r="C225" s="91">
        <v>0.43981742871178686</v>
      </c>
      <c r="D225" s="87">
        <v>6.6517191013574256E-2</v>
      </c>
      <c r="E225" s="87">
        <v>0.40034697337392655</v>
      </c>
      <c r="F225" s="87">
        <v>2.6282564149664109E-2</v>
      </c>
      <c r="G225" s="87">
        <v>2.6829018948420712E-3</v>
      </c>
    </row>
    <row r="226" spans="2:7" x14ac:dyDescent="0.3">
      <c r="B226" s="72" t="s">
        <v>59</v>
      </c>
      <c r="C226" s="87">
        <v>0.20913840757094626</v>
      </c>
      <c r="D226" s="87">
        <v>7.0392820985242854E-2</v>
      </c>
      <c r="E226" s="91">
        <v>0.59214387910104505</v>
      </c>
      <c r="F226" s="87">
        <v>1.7173835941506968E-2</v>
      </c>
      <c r="G226" s="87">
        <v>2.0990801511658183E-3</v>
      </c>
    </row>
    <row r="227" spans="2:7" x14ac:dyDescent="0.3">
      <c r="B227" s="72" t="s">
        <v>60</v>
      </c>
      <c r="C227" s="87">
        <v>1.4252342644972547E-2</v>
      </c>
      <c r="D227" s="91">
        <v>0.66826485672922287</v>
      </c>
      <c r="E227" s="87">
        <v>4.3661677972347379E-2</v>
      </c>
      <c r="F227" s="87">
        <v>1.9805446033307934E-2</v>
      </c>
      <c r="G227" s="87">
        <v>6.5799318719221025E-2</v>
      </c>
    </row>
    <row r="228" spans="2:7" x14ac:dyDescent="0.3">
      <c r="B228" s="72" t="s">
        <v>61</v>
      </c>
      <c r="C228" s="87">
        <v>0.13726250324274203</v>
      </c>
      <c r="D228" s="91">
        <v>0.68961003263369802</v>
      </c>
      <c r="E228" s="87">
        <v>3.537821356885236E-2</v>
      </c>
      <c r="F228" s="87">
        <v>1.1769061953103703E-2</v>
      </c>
      <c r="G228" s="87">
        <v>5.4344215378146786E-2</v>
      </c>
    </row>
    <row r="229" spans="2:7" ht="16.2" thickBot="1" x14ac:dyDescent="0.35">
      <c r="B229" s="85" t="s">
        <v>62</v>
      </c>
      <c r="C229" s="88">
        <v>0.14257223646193001</v>
      </c>
      <c r="D229" s="93">
        <v>0.68527134894488295</v>
      </c>
      <c r="E229" s="88">
        <v>4.7635052496146781E-2</v>
      </c>
      <c r="F229" s="88">
        <v>9.4869183496882337E-3</v>
      </c>
      <c r="G229" s="88">
        <v>6.8248952150236436E-2</v>
      </c>
    </row>
    <row r="230" spans="2:7" x14ac:dyDescent="0.3">
      <c r="B230" s="95" t="s">
        <v>150</v>
      </c>
    </row>
    <row r="233" spans="2:7" x14ac:dyDescent="0.3">
      <c r="B233" t="s">
        <v>151</v>
      </c>
    </row>
    <row r="234" spans="2:7" ht="16.2" thickBot="1" x14ac:dyDescent="0.35"/>
    <row r="235" spans="2:7" x14ac:dyDescent="0.3">
      <c r="B235" s="74"/>
      <c r="C235" s="75" t="s">
        <v>122</v>
      </c>
      <c r="D235" s="75" t="s">
        <v>123</v>
      </c>
      <c r="E235" s="75" t="s">
        <v>124</v>
      </c>
      <c r="F235" s="75" t="s">
        <v>125</v>
      </c>
      <c r="G235" s="75" t="s">
        <v>126</v>
      </c>
    </row>
    <row r="236" spans="2:7" x14ac:dyDescent="0.3">
      <c r="B236" s="84" t="s">
        <v>63</v>
      </c>
      <c r="C236" s="86">
        <v>-1.1176002470421291</v>
      </c>
      <c r="D236" s="86">
        <v>-1.6378658582153469</v>
      </c>
      <c r="E236" s="86">
        <v>-1.3888687788387888</v>
      </c>
      <c r="F236" s="86">
        <v>-1.6279571064398186</v>
      </c>
      <c r="G236" s="86">
        <v>0.58070308345222077</v>
      </c>
    </row>
    <row r="237" spans="2:7" x14ac:dyDescent="0.3">
      <c r="B237" s="72" t="s">
        <v>66</v>
      </c>
      <c r="C237" s="87">
        <v>3.0894935724065098</v>
      </c>
      <c r="D237" s="87">
        <v>0.48011712822909192</v>
      </c>
      <c r="E237" s="87">
        <v>0.30029176381348222</v>
      </c>
      <c r="F237" s="87">
        <v>5.1967063816896926E-2</v>
      </c>
      <c r="G237" s="87">
        <v>-1.7492183067464913</v>
      </c>
    </row>
    <row r="238" spans="2:7" x14ac:dyDescent="0.3">
      <c r="B238" s="72" t="s">
        <v>67</v>
      </c>
      <c r="C238" s="87">
        <v>-2.1629977612269609</v>
      </c>
      <c r="D238" s="87">
        <v>0.41146424321119507</v>
      </c>
      <c r="E238" s="87">
        <v>0.47504908263028178</v>
      </c>
      <c r="F238" s="87">
        <v>0.75024060011913785</v>
      </c>
      <c r="G238" s="87">
        <v>-0.99401546065309465</v>
      </c>
    </row>
    <row r="239" spans="2:7" x14ac:dyDescent="0.3">
      <c r="B239" s="72" t="s">
        <v>68</v>
      </c>
      <c r="C239" s="87">
        <v>1.4021524395576326</v>
      </c>
      <c r="D239" s="87">
        <v>4.5532453733567442</v>
      </c>
      <c r="E239" s="87">
        <v>2.0378030573577703</v>
      </c>
      <c r="F239" s="87">
        <v>-0.80834250970152643</v>
      </c>
      <c r="G239" s="87">
        <v>1.8830577969688678</v>
      </c>
    </row>
    <row r="240" spans="2:7" x14ac:dyDescent="0.3">
      <c r="B240" s="72" t="s">
        <v>69</v>
      </c>
      <c r="C240" s="87">
        <v>-1.9140849749815498</v>
      </c>
      <c r="D240" s="87">
        <v>0.17483364772030288</v>
      </c>
      <c r="E240" s="87">
        <v>0.67052931725242482</v>
      </c>
      <c r="F240" s="87">
        <v>-0.19031162644117566</v>
      </c>
      <c r="G240" s="87">
        <v>0.35493623789762019</v>
      </c>
    </row>
    <row r="241" spans="2:7" x14ac:dyDescent="0.3">
      <c r="B241" s="72" t="s">
        <v>70</v>
      </c>
      <c r="C241" s="87">
        <v>-1.9014350450250272</v>
      </c>
      <c r="D241" s="87">
        <v>-0.10706883214033636</v>
      </c>
      <c r="E241" s="87">
        <v>-1.56197399827946</v>
      </c>
      <c r="F241" s="87">
        <v>-0.3252856327965139</v>
      </c>
      <c r="G241" s="87">
        <v>-1.0499499929986014</v>
      </c>
    </row>
    <row r="242" spans="2:7" x14ac:dyDescent="0.3">
      <c r="B242" s="72" t="s">
        <v>27</v>
      </c>
      <c r="C242" s="87">
        <v>1.1707818361686668</v>
      </c>
      <c r="D242" s="87">
        <v>-1.8397484398285442</v>
      </c>
      <c r="E242" s="87">
        <v>-0.16848097181862923</v>
      </c>
      <c r="F242" s="87">
        <v>-1.6415116727407251</v>
      </c>
      <c r="G242" s="87">
        <v>-0.54362788442974364</v>
      </c>
    </row>
    <row r="243" spans="2:7" x14ac:dyDescent="0.3">
      <c r="B243" s="72" t="s">
        <v>71</v>
      </c>
      <c r="C243" s="87">
        <v>0.50180113120308489</v>
      </c>
      <c r="D243" s="87">
        <v>1.3049308107389876</v>
      </c>
      <c r="E243" s="87">
        <v>3.3395756147377456E-2</v>
      </c>
      <c r="F243" s="87">
        <v>0.78360082587679891</v>
      </c>
      <c r="G243" s="87">
        <v>-0.29452751493619322</v>
      </c>
    </row>
    <row r="244" spans="2:7" x14ac:dyDescent="0.3">
      <c r="B244" s="72" t="s">
        <v>72</v>
      </c>
      <c r="C244" s="87">
        <v>-0.75227861258493911</v>
      </c>
      <c r="D244" s="87">
        <v>-1.2959625615354788</v>
      </c>
      <c r="E244" s="87">
        <v>-1.9009914614024122</v>
      </c>
      <c r="F244" s="87">
        <v>-0.22215114930895222</v>
      </c>
      <c r="G244" s="87">
        <v>-0.75685188572812545</v>
      </c>
    </row>
    <row r="245" spans="2:7" x14ac:dyDescent="0.3">
      <c r="B245" s="72" t="s">
        <v>73</v>
      </c>
      <c r="C245" s="87">
        <v>3.4712157713407494</v>
      </c>
      <c r="D245" s="87">
        <v>0.77873521974909854</v>
      </c>
      <c r="E245" s="87">
        <v>-3.097596303184297</v>
      </c>
      <c r="F245" s="87">
        <v>-0.20176306338089897</v>
      </c>
      <c r="G245" s="87">
        <v>-0.69128376188709972</v>
      </c>
    </row>
    <row r="246" spans="2:7" x14ac:dyDescent="0.3">
      <c r="B246" s="72" t="s">
        <v>75</v>
      </c>
      <c r="C246" s="87">
        <v>-3.4982723256383168</v>
      </c>
      <c r="D246" s="87">
        <v>0.82830230233691415</v>
      </c>
      <c r="E246" s="87">
        <v>-0.67118432511226711</v>
      </c>
      <c r="F246" s="87">
        <v>1.0396030424254017</v>
      </c>
      <c r="G246" s="87">
        <v>2.2577414824860882</v>
      </c>
    </row>
    <row r="247" spans="2:7" x14ac:dyDescent="0.3">
      <c r="B247" s="72" t="s">
        <v>76</v>
      </c>
      <c r="C247" s="87">
        <v>-0.33884205648649224</v>
      </c>
      <c r="D247" s="87">
        <v>1.115011231659617</v>
      </c>
      <c r="E247" s="87">
        <v>0.47904608882395144</v>
      </c>
      <c r="F247" s="87">
        <v>0.31637944191711637</v>
      </c>
      <c r="G247" s="87">
        <v>-0.65283387849902852</v>
      </c>
    </row>
    <row r="248" spans="2:7" x14ac:dyDescent="0.3">
      <c r="B248" s="72" t="s">
        <v>77</v>
      </c>
      <c r="C248" s="87">
        <v>-3.0382376839576515</v>
      </c>
      <c r="D248" s="87">
        <v>0.41268394667183661</v>
      </c>
      <c r="E248" s="87">
        <v>0.82798979975304421</v>
      </c>
      <c r="F248" s="87">
        <v>-0.79883376624209124</v>
      </c>
      <c r="G248" s="87">
        <v>-0.73458103074992465</v>
      </c>
    </row>
    <row r="249" spans="2:7" x14ac:dyDescent="0.3">
      <c r="B249" s="72" t="s">
        <v>78</v>
      </c>
      <c r="C249" s="87">
        <v>4.5165582563532061</v>
      </c>
      <c r="D249" s="87">
        <v>0.37682216697577064</v>
      </c>
      <c r="E249" s="87">
        <v>-0.6992247378923403</v>
      </c>
      <c r="F249" s="87">
        <v>2.2890654348084545</v>
      </c>
      <c r="G249" s="87">
        <v>-0.28000833513517764</v>
      </c>
    </row>
    <row r="250" spans="2:7" x14ac:dyDescent="0.3">
      <c r="B250" s="72" t="s">
        <v>79</v>
      </c>
      <c r="C250" s="87">
        <v>-4.5296208242017819</v>
      </c>
      <c r="D250" s="87">
        <v>-0.63061061317440137</v>
      </c>
      <c r="E250" s="87">
        <v>4.001652500048189E-2</v>
      </c>
      <c r="F250" s="87">
        <v>2.0984962438023667</v>
      </c>
      <c r="G250" s="87">
        <v>-0.60060897246068357</v>
      </c>
    </row>
    <row r="251" spans="2:7" x14ac:dyDescent="0.3">
      <c r="B251" s="72" t="s">
        <v>29</v>
      </c>
      <c r="C251" s="87">
        <v>0.88141483749165461</v>
      </c>
      <c r="D251" s="87">
        <v>-1.747542868918379</v>
      </c>
      <c r="E251" s="87">
        <v>1.9583826116893828</v>
      </c>
      <c r="F251" s="87">
        <v>-1.5541862086300284</v>
      </c>
      <c r="G251" s="87">
        <v>0.20159860579536068</v>
      </c>
    </row>
    <row r="252" spans="2:7" x14ac:dyDescent="0.3">
      <c r="B252" s="72" t="s">
        <v>80</v>
      </c>
      <c r="C252" s="87">
        <v>-4.4923622347060208</v>
      </c>
      <c r="D252" s="87">
        <v>0.562069049140838</v>
      </c>
      <c r="E252" s="87">
        <v>-1.4434342618090859</v>
      </c>
      <c r="F252" s="87">
        <v>-3.6512600709051459</v>
      </c>
      <c r="G252" s="87">
        <v>-1.4209241612060211</v>
      </c>
    </row>
    <row r="253" spans="2:7" x14ac:dyDescent="0.3">
      <c r="B253" s="72" t="s">
        <v>82</v>
      </c>
      <c r="C253" s="87">
        <v>-0.66593799005466559</v>
      </c>
      <c r="D253" s="87">
        <v>5.5140288063958265E-2</v>
      </c>
      <c r="E253" s="87">
        <v>4.3941777879550739E-2</v>
      </c>
      <c r="F253" s="87">
        <v>1.8691070191473034</v>
      </c>
      <c r="G253" s="87">
        <v>-0.53179976912556404</v>
      </c>
    </row>
    <row r="254" spans="2:7" x14ac:dyDescent="0.3">
      <c r="B254" s="72" t="s">
        <v>28</v>
      </c>
      <c r="C254" s="87">
        <v>0.20494769071710739</v>
      </c>
      <c r="D254" s="87">
        <v>1.7229866433375445</v>
      </c>
      <c r="E254" s="87">
        <v>-1.5126074107639764</v>
      </c>
      <c r="F254" s="87">
        <v>-4.3125383117355483E-3</v>
      </c>
      <c r="G254" s="87">
        <v>-0.58134926328577996</v>
      </c>
    </row>
    <row r="255" spans="2:7" x14ac:dyDescent="0.3">
      <c r="B255" s="72" t="s">
        <v>83</v>
      </c>
      <c r="C255" s="87">
        <v>2.352526003651084</v>
      </c>
      <c r="D255" s="87">
        <v>2.7991740018013331</v>
      </c>
      <c r="E255" s="87">
        <v>-0.81146645412961815</v>
      </c>
      <c r="F255" s="87">
        <v>-0.90272864109104134</v>
      </c>
      <c r="G255" s="87">
        <v>-0.63751759397616203</v>
      </c>
    </row>
    <row r="256" spans="2:7" x14ac:dyDescent="0.3">
      <c r="B256" s="72" t="s">
        <v>85</v>
      </c>
      <c r="C256" s="87">
        <v>-0.36283972655382851</v>
      </c>
      <c r="D256" s="87">
        <v>-4.04784655512338E-2</v>
      </c>
      <c r="E256" s="87">
        <v>1.9306455836748109</v>
      </c>
      <c r="F256" s="87">
        <v>-0.5944217090466416</v>
      </c>
      <c r="G256" s="87">
        <v>1.0614466058259699</v>
      </c>
    </row>
    <row r="257" spans="2:7" x14ac:dyDescent="0.3">
      <c r="B257" s="72" t="s">
        <v>86</v>
      </c>
      <c r="C257" s="87">
        <v>-0.13291362524973344</v>
      </c>
      <c r="D257" s="87">
        <v>-1.2358437079294931</v>
      </c>
      <c r="E257" s="87">
        <v>0.4619407300488228</v>
      </c>
      <c r="F257" s="87">
        <v>1.4727736209564344</v>
      </c>
      <c r="G257" s="87">
        <v>0.2811098944202014</v>
      </c>
    </row>
    <row r="258" spans="2:7" x14ac:dyDescent="0.3">
      <c r="B258" s="72" t="s">
        <v>87</v>
      </c>
      <c r="C258" s="87">
        <v>1.2466414185530392</v>
      </c>
      <c r="D258" s="87">
        <v>4.8758071058874339</v>
      </c>
      <c r="E258" s="87">
        <v>0.82553543944649832</v>
      </c>
      <c r="F258" s="87">
        <v>-1.2012381743043283</v>
      </c>
      <c r="G258" s="87">
        <v>1.1817958715229331</v>
      </c>
    </row>
    <row r="259" spans="2:7" x14ac:dyDescent="0.3">
      <c r="B259" s="72" t="s">
        <v>88</v>
      </c>
      <c r="C259" s="87">
        <v>3.9019553312626472</v>
      </c>
      <c r="D259" s="87">
        <v>-3.2621190106651703</v>
      </c>
      <c r="E259" s="87">
        <v>-2.8542177212334376</v>
      </c>
      <c r="F259" s="87">
        <v>-0.71371828524203107</v>
      </c>
      <c r="G259" s="87">
        <v>1.5761859729803724</v>
      </c>
    </row>
    <row r="260" spans="2:7" x14ac:dyDescent="0.3">
      <c r="B260" s="72" t="s">
        <v>89</v>
      </c>
      <c r="C260" s="87">
        <v>-2.9202550300801864</v>
      </c>
      <c r="D260" s="87">
        <v>0.32762988391041126</v>
      </c>
      <c r="E260" s="87">
        <v>0.97290696129269361</v>
      </c>
      <c r="F260" s="87">
        <v>0.77026829558675802</v>
      </c>
      <c r="G260" s="87">
        <v>-0.32827701830051553</v>
      </c>
    </row>
    <row r="261" spans="2:7" x14ac:dyDescent="0.3">
      <c r="B261" s="72" t="s">
        <v>90</v>
      </c>
      <c r="C261" s="87">
        <v>0.6841091920078004</v>
      </c>
      <c r="D261" s="87">
        <v>-1.6926700865099673</v>
      </c>
      <c r="E261" s="87">
        <v>-1.090350415188406</v>
      </c>
      <c r="F261" s="87">
        <v>-0.44129132771289975</v>
      </c>
      <c r="G261" s="87">
        <v>1.8495478911990737</v>
      </c>
    </row>
    <row r="262" spans="2:7" x14ac:dyDescent="0.3">
      <c r="B262" s="72" t="s">
        <v>91</v>
      </c>
      <c r="C262" s="87">
        <v>0.74190707929237643</v>
      </c>
      <c r="D262" s="87">
        <v>-2.6502988188423982</v>
      </c>
      <c r="E262" s="87">
        <v>1.1554174413789162</v>
      </c>
      <c r="F262" s="87">
        <v>0.1977896191492706</v>
      </c>
      <c r="G262" s="87">
        <v>0.1313341253475295</v>
      </c>
    </row>
    <row r="263" spans="2:7" x14ac:dyDescent="0.3">
      <c r="B263" s="72" t="s">
        <v>92</v>
      </c>
      <c r="C263" s="87">
        <v>0.44571086349096817</v>
      </c>
      <c r="D263" s="87">
        <v>-1.275136473148772</v>
      </c>
      <c r="E263" s="87">
        <v>-1.3472380263139427</v>
      </c>
      <c r="F263" s="87">
        <v>0.3977071112212226</v>
      </c>
      <c r="G263" s="87">
        <v>1.7557650893203338</v>
      </c>
    </row>
    <row r="264" spans="2:7" x14ac:dyDescent="0.3">
      <c r="B264" s="72" t="s">
        <v>93</v>
      </c>
      <c r="C264" s="87">
        <v>2.1253277635105863</v>
      </c>
      <c r="D264" s="87">
        <v>-3.2722481023752765</v>
      </c>
      <c r="E264" s="87">
        <v>5.398204021548187</v>
      </c>
      <c r="F264" s="87">
        <v>-1.0636254724053591</v>
      </c>
      <c r="G264" s="87">
        <v>-0.47317923615925983</v>
      </c>
    </row>
    <row r="265" spans="2:7" x14ac:dyDescent="0.3">
      <c r="B265" s="72" t="s">
        <v>94</v>
      </c>
      <c r="C265" s="87">
        <v>-4.1004400570503217</v>
      </c>
      <c r="D265" s="87">
        <v>-0.64285116582641355</v>
      </c>
      <c r="E265" s="87">
        <v>-0.47280091504044691</v>
      </c>
      <c r="F265" s="87">
        <v>1.4429266398292553</v>
      </c>
      <c r="G265" s="87">
        <v>0.45230983800712143</v>
      </c>
    </row>
    <row r="266" spans="2:7" x14ac:dyDescent="0.3">
      <c r="B266" s="72" t="s">
        <v>95</v>
      </c>
      <c r="C266" s="87">
        <v>0.16168363034357591</v>
      </c>
      <c r="D266" s="87">
        <v>0.21691574932041618</v>
      </c>
      <c r="E266" s="87">
        <v>1.0448974101928485</v>
      </c>
      <c r="F266" s="87">
        <v>1.4474264778007313</v>
      </c>
      <c r="G266" s="87">
        <v>-1.6620048079389962E-2</v>
      </c>
    </row>
    <row r="267" spans="2:7" ht="16.2" thickBot="1" x14ac:dyDescent="0.35">
      <c r="B267" s="85" t="s">
        <v>97</v>
      </c>
      <c r="C267" s="88">
        <v>5.0298913774889069</v>
      </c>
      <c r="D267" s="88">
        <v>0.33457621254971759</v>
      </c>
      <c r="E267" s="88">
        <v>0.36444241307658859</v>
      </c>
      <c r="F267" s="88">
        <v>1.0155875182437473</v>
      </c>
      <c r="G267" s="88">
        <v>-1.2303583808668357</v>
      </c>
    </row>
    <row r="288" spans="7:7" x14ac:dyDescent="0.3">
      <c r="G288" t="s">
        <v>144</v>
      </c>
    </row>
    <row r="306" spans="2:7" x14ac:dyDescent="0.3">
      <c r="G306" t="s">
        <v>144</v>
      </c>
    </row>
    <row r="309" spans="2:7" x14ac:dyDescent="0.3">
      <c r="B309" t="s">
        <v>152</v>
      </c>
    </row>
    <row r="310" spans="2:7" ht="16.2" thickBot="1" x14ac:dyDescent="0.35"/>
    <row r="311" spans="2:7" x14ac:dyDescent="0.3">
      <c r="B311" s="74"/>
      <c r="C311" s="75" t="s">
        <v>122</v>
      </c>
      <c r="D311" s="75" t="s">
        <v>123</v>
      </c>
      <c r="E311" s="75" t="s">
        <v>124</v>
      </c>
      <c r="F311" s="75" t="s">
        <v>125</v>
      </c>
      <c r="G311" s="75" t="s">
        <v>126</v>
      </c>
    </row>
    <row r="312" spans="2:7" x14ac:dyDescent="0.3">
      <c r="B312" s="84" t="s">
        <v>63</v>
      </c>
      <c r="C312" s="86">
        <v>0.61905432561469964</v>
      </c>
      <c r="D312" s="86">
        <v>2.509629686648561</v>
      </c>
      <c r="E312" s="86">
        <v>2.355503306019092</v>
      </c>
      <c r="F312" s="86">
        <v>5.224419410614022</v>
      </c>
      <c r="G312" s="86">
        <v>0.99652196049474018</v>
      </c>
    </row>
    <row r="313" spans="2:7" x14ac:dyDescent="0.3">
      <c r="B313" s="72" t="s">
        <v>66</v>
      </c>
      <c r="C313" s="87">
        <v>4.7307541212088351</v>
      </c>
      <c r="D313" s="87">
        <v>0.21564896718316576</v>
      </c>
      <c r="E313" s="87">
        <v>0.11011541737878836</v>
      </c>
      <c r="F313" s="87">
        <v>5.3236375248212724E-3</v>
      </c>
      <c r="G313" s="87">
        <v>9.0420444434371863</v>
      </c>
    </row>
    <row r="314" spans="2:7" x14ac:dyDescent="0.3">
      <c r="B314" s="72" t="s">
        <v>67</v>
      </c>
      <c r="C314" s="87">
        <v>2.3188247341777846</v>
      </c>
      <c r="D314" s="87">
        <v>0.1583861432920271</v>
      </c>
      <c r="E314" s="87">
        <v>0.27557400950089006</v>
      </c>
      <c r="F314" s="87">
        <v>1.1095662652561644</v>
      </c>
      <c r="G314" s="87">
        <v>2.9198792263178373</v>
      </c>
    </row>
    <row r="315" spans="2:7" x14ac:dyDescent="0.3">
      <c r="B315" s="72" t="s">
        <v>68</v>
      </c>
      <c r="C315" s="87">
        <v>0.97442013220718993</v>
      </c>
      <c r="D315" s="87">
        <v>19.3952370946546</v>
      </c>
      <c r="E315" s="87">
        <v>5.0709077105313094</v>
      </c>
      <c r="F315" s="87">
        <v>1.2880803511194585</v>
      </c>
      <c r="G315" s="87">
        <v>10.478663876860654</v>
      </c>
    </row>
    <row r="316" spans="2:7" x14ac:dyDescent="0.3">
      <c r="B316" s="72" t="s">
        <v>69</v>
      </c>
      <c r="C316" s="87">
        <v>1.8158426510439658</v>
      </c>
      <c r="D316" s="87">
        <v>2.8595850673598142E-2</v>
      </c>
      <c r="E316" s="87">
        <v>0.54903095315900452</v>
      </c>
      <c r="F316" s="87">
        <v>7.1397459748760994E-2</v>
      </c>
      <c r="G316" s="87">
        <v>0.37228821883769392</v>
      </c>
    </row>
    <row r="317" spans="2:7" x14ac:dyDescent="0.3">
      <c r="B317" s="72" t="s">
        <v>70</v>
      </c>
      <c r="C317" s="87">
        <v>1.791920642465513</v>
      </c>
      <c r="D317" s="87">
        <v>1.0724550886424525E-2</v>
      </c>
      <c r="E317" s="87">
        <v>2.9792633057760201</v>
      </c>
      <c r="F317" s="87">
        <v>0.20858442772607463</v>
      </c>
      <c r="G317" s="87">
        <v>3.2577356434869014</v>
      </c>
    </row>
    <row r="318" spans="2:7" x14ac:dyDescent="0.3">
      <c r="B318" s="72" t="s">
        <v>27</v>
      </c>
      <c r="C318" s="87">
        <v>0.67937214514869393</v>
      </c>
      <c r="D318" s="87">
        <v>3.1664298399801996</v>
      </c>
      <c r="E318" s="87">
        <v>3.4662749243301129E-2</v>
      </c>
      <c r="F318" s="87">
        <v>5.3117798760880062</v>
      </c>
      <c r="G318" s="87">
        <v>0.87333740140670468</v>
      </c>
    </row>
    <row r="319" spans="2:7" x14ac:dyDescent="0.3">
      <c r="B319" s="72" t="s">
        <v>71</v>
      </c>
      <c r="C319" s="87">
        <v>0.12480128480677298</v>
      </c>
      <c r="D319" s="87">
        <v>1.5930446696465852</v>
      </c>
      <c r="E319" s="87">
        <v>1.3618957042464425E-3</v>
      </c>
      <c r="F319" s="87">
        <v>1.2104361588232906</v>
      </c>
      <c r="G319" s="87">
        <v>0.25634824923973559</v>
      </c>
    </row>
    <row r="320" spans="2:7" x14ac:dyDescent="0.3">
      <c r="B320" s="72" t="s">
        <v>72</v>
      </c>
      <c r="C320" s="87">
        <v>0.28048730793949034</v>
      </c>
      <c r="D320" s="87">
        <v>1.5712232400847785</v>
      </c>
      <c r="E320" s="87">
        <v>4.4128749411562396</v>
      </c>
      <c r="F320" s="87">
        <v>9.7285753610556372E-2</v>
      </c>
      <c r="G320" s="87">
        <v>1.6927795517339124</v>
      </c>
    </row>
    <row r="321" spans="2:7" x14ac:dyDescent="0.3">
      <c r="B321" s="72" t="s">
        <v>73</v>
      </c>
      <c r="C321" s="87">
        <v>5.9719890809450744</v>
      </c>
      <c r="D321" s="87">
        <v>0.56732590793745141</v>
      </c>
      <c r="E321" s="87">
        <v>11.716851406521942</v>
      </c>
      <c r="F321" s="87">
        <v>8.0248226832393285E-2</v>
      </c>
      <c r="G321" s="87">
        <v>1.4121841104619015</v>
      </c>
    </row>
    <row r="322" spans="2:7" x14ac:dyDescent="0.3">
      <c r="B322" s="72" t="s">
        <v>75</v>
      </c>
      <c r="C322" s="87">
        <v>6.0654498074484442</v>
      </c>
      <c r="D322" s="87">
        <v>0.64184582417681124</v>
      </c>
      <c r="E322" s="87">
        <v>0.55010412096212413</v>
      </c>
      <c r="F322" s="87">
        <v>2.1305277842216359</v>
      </c>
      <c r="G322" s="87">
        <v>15.063539640765175</v>
      </c>
    </row>
    <row r="323" spans="2:7" x14ac:dyDescent="0.3">
      <c r="B323" s="72" t="s">
        <v>76</v>
      </c>
      <c r="C323" s="87">
        <v>5.690499664921235E-2</v>
      </c>
      <c r="D323" s="87">
        <v>1.1630850333511349</v>
      </c>
      <c r="E323" s="87">
        <v>0.28023081186507015</v>
      </c>
      <c r="F323" s="87">
        <v>0.19731887462376721</v>
      </c>
      <c r="G323" s="87">
        <v>1.2594588348808833</v>
      </c>
    </row>
    <row r="324" spans="2:7" x14ac:dyDescent="0.3">
      <c r="B324" s="72" t="s">
        <v>77</v>
      </c>
      <c r="C324" s="87">
        <v>4.5750861517974224</v>
      </c>
      <c r="D324" s="87">
        <v>0.15932654313545491</v>
      </c>
      <c r="E324" s="87">
        <v>0.83716538100018745</v>
      </c>
      <c r="F324" s="87">
        <v>1.2579545390774911</v>
      </c>
      <c r="G324" s="87">
        <v>1.5946230157526151</v>
      </c>
    </row>
    <row r="325" spans="2:7" x14ac:dyDescent="0.3">
      <c r="B325" s="72" t="s">
        <v>78</v>
      </c>
      <c r="C325" s="87">
        <v>10.110462366040172</v>
      </c>
      <c r="D325" s="87">
        <v>0.13283908284227353</v>
      </c>
      <c r="E325" s="87">
        <v>0.59702821670422235</v>
      </c>
      <c r="F325" s="87">
        <v>10.329243930332924</v>
      </c>
      <c r="G325" s="87">
        <v>0.23169706280999408</v>
      </c>
    </row>
    <row r="326" spans="2:7" x14ac:dyDescent="0.3">
      <c r="B326" s="72" t="s">
        <v>79</v>
      </c>
      <c r="C326" s="87">
        <v>10.169028900241004</v>
      </c>
      <c r="D326" s="87">
        <v>0.372027920179824</v>
      </c>
      <c r="E326" s="87">
        <v>1.9554199060373054E-3</v>
      </c>
      <c r="F326" s="87">
        <v>8.6809751089861802</v>
      </c>
      <c r="G326" s="87">
        <v>1.0660123624792261</v>
      </c>
    </row>
    <row r="327" spans="2:7" x14ac:dyDescent="0.3">
      <c r="B327" s="72" t="s">
        <v>29</v>
      </c>
      <c r="C327" s="87">
        <v>0.38504944203358499</v>
      </c>
      <c r="D327" s="87">
        <v>2.8569895997634371</v>
      </c>
      <c r="E327" s="87">
        <v>4.683347426617174</v>
      </c>
      <c r="F327" s="87">
        <v>4.7616582274852304</v>
      </c>
      <c r="G327" s="87">
        <v>0.12010294541621867</v>
      </c>
    </row>
    <row r="328" spans="2:7" x14ac:dyDescent="0.3">
      <c r="B328" s="72" t="s">
        <v>80</v>
      </c>
      <c r="C328" s="87">
        <v>10.00242536935289</v>
      </c>
      <c r="D328" s="87">
        <v>0.29555092658266141</v>
      </c>
      <c r="E328" s="87">
        <v>2.5442237761442037</v>
      </c>
      <c r="F328" s="87">
        <v>26.280743909199266</v>
      </c>
      <c r="G328" s="87">
        <v>5.9665104773862545</v>
      </c>
    </row>
    <row r="329" spans="2:7" x14ac:dyDescent="0.3">
      <c r="B329" s="72" t="s">
        <v>82</v>
      </c>
      <c r="C329" s="87">
        <v>0.21979781272766102</v>
      </c>
      <c r="D329" s="87">
        <v>2.8444024513025802E-3</v>
      </c>
      <c r="E329" s="87">
        <v>2.3578519733242166E-3</v>
      </c>
      <c r="F329" s="87">
        <v>6.8868473289092478</v>
      </c>
      <c r="G329" s="87">
        <v>0.83574713887642305</v>
      </c>
    </row>
    <row r="330" spans="2:7" x14ac:dyDescent="0.3">
      <c r="B330" s="72" t="s">
        <v>28</v>
      </c>
      <c r="C330" s="87">
        <v>2.0818136066107648E-2</v>
      </c>
      <c r="D330" s="87">
        <v>2.7772616971858901</v>
      </c>
      <c r="E330" s="87">
        <v>2.7939185118223167</v>
      </c>
      <c r="F330" s="87">
        <v>3.6662160232214238E-5</v>
      </c>
      <c r="G330" s="87">
        <v>0.99874096253619637</v>
      </c>
    </row>
    <row r="331" spans="2:7" x14ac:dyDescent="0.3">
      <c r="B331" s="72" t="s">
        <v>83</v>
      </c>
      <c r="C331" s="87">
        <v>2.7429926857322453</v>
      </c>
      <c r="D331" s="87">
        <v>7.3301485285342425</v>
      </c>
      <c r="E331" s="87">
        <v>0.80408586797432302</v>
      </c>
      <c r="F331" s="87">
        <v>1.6064475919714507</v>
      </c>
      <c r="G331" s="87">
        <v>1.2010551758598162</v>
      </c>
    </row>
    <row r="332" spans="2:7" x14ac:dyDescent="0.3">
      <c r="B332" s="72" t="s">
        <v>85</v>
      </c>
      <c r="C332" s="87">
        <v>6.5250740748479294E-2</v>
      </c>
      <c r="D332" s="87">
        <v>1.5328549653639031E-3</v>
      </c>
      <c r="E332" s="87">
        <v>4.5516242169489116</v>
      </c>
      <c r="F332" s="87">
        <v>0.69653259203936069</v>
      </c>
      <c r="G332" s="87">
        <v>3.3294685342870483</v>
      </c>
    </row>
    <row r="333" spans="2:7" x14ac:dyDescent="0.3">
      <c r="B333" s="72" t="s">
        <v>86</v>
      </c>
      <c r="C333" s="87">
        <v>8.755779008158656E-3</v>
      </c>
      <c r="D333" s="87">
        <v>1.4288284353133525</v>
      </c>
      <c r="E333" s="87">
        <v>0.26057563232443487</v>
      </c>
      <c r="F333" s="87">
        <v>4.2758662538669707</v>
      </c>
      <c r="G333" s="87">
        <v>0.23352365191680455</v>
      </c>
    </row>
    <row r="334" spans="2:7" x14ac:dyDescent="0.3">
      <c r="B334" s="72" t="s">
        <v>87</v>
      </c>
      <c r="C334" s="87">
        <v>0.77026273616305529</v>
      </c>
      <c r="D334" s="87">
        <v>22.240575193034676</v>
      </c>
      <c r="E334" s="87">
        <v>0.83220961907682656</v>
      </c>
      <c r="F334" s="87">
        <v>2.844529021818444</v>
      </c>
      <c r="G334" s="87">
        <v>4.1272763277033047</v>
      </c>
    </row>
    <row r="335" spans="2:7" x14ac:dyDescent="0.3">
      <c r="B335" s="72" t="s">
        <v>88</v>
      </c>
      <c r="C335" s="87">
        <v>7.5460620342200002</v>
      </c>
      <c r="D335" s="87">
        <v>9.9552595068423049</v>
      </c>
      <c r="E335" s="87">
        <v>9.9479932997124756</v>
      </c>
      <c r="F335" s="87">
        <v>1.0041665846219101</v>
      </c>
      <c r="G335" s="87">
        <v>7.3416474581588478</v>
      </c>
    </row>
    <row r="336" spans="2:7" x14ac:dyDescent="0.3">
      <c r="B336" s="72" t="s">
        <v>89</v>
      </c>
      <c r="C336" s="87">
        <v>4.2266603100960864</v>
      </c>
      <c r="D336" s="87">
        <v>0.10041994955819061</v>
      </c>
      <c r="E336" s="87">
        <v>1.1558564724607994</v>
      </c>
      <c r="F336" s="87">
        <v>1.1695967794035782</v>
      </c>
      <c r="G336" s="87">
        <v>0.31846343109276132</v>
      </c>
    </row>
    <row r="337" spans="2:7" x14ac:dyDescent="0.3">
      <c r="B337" s="72" t="s">
        <v>90</v>
      </c>
      <c r="C337" s="87">
        <v>0.23195654753292871</v>
      </c>
      <c r="D337" s="87">
        <v>2.6803877320281377</v>
      </c>
      <c r="E337" s="87">
        <v>1.4517554803064696</v>
      </c>
      <c r="F337" s="87">
        <v>0.38388655691292567</v>
      </c>
      <c r="G337" s="87">
        <v>10.109036670649145</v>
      </c>
    </row>
    <row r="338" spans="2:7" x14ac:dyDescent="0.3">
      <c r="B338" s="72" t="s">
        <v>91</v>
      </c>
      <c r="C338" s="87">
        <v>0.27280656335249354</v>
      </c>
      <c r="D338" s="87">
        <v>6.5711694893585744</v>
      </c>
      <c r="E338" s="87">
        <v>1.6301933819175309</v>
      </c>
      <c r="F338" s="87">
        <v>7.7118594705394047E-2</v>
      </c>
      <c r="G338" s="87">
        <v>5.0972247344008528E-2</v>
      </c>
    </row>
    <row r="339" spans="2:7" x14ac:dyDescent="0.3">
      <c r="B339" s="72" t="s">
        <v>92</v>
      </c>
      <c r="C339" s="87">
        <v>9.8460542254636893E-2</v>
      </c>
      <c r="D339" s="87">
        <v>1.521129957057419</v>
      </c>
      <c r="E339" s="87">
        <v>2.2164092424003208</v>
      </c>
      <c r="F339" s="87">
        <v>0.31180195332515886</v>
      </c>
      <c r="G339" s="87">
        <v>9.1098542479374132</v>
      </c>
    </row>
    <row r="340" spans="2:7" x14ac:dyDescent="0.3">
      <c r="B340" s="72" t="s">
        <v>93</v>
      </c>
      <c r="C340" s="87">
        <v>2.2387603950453223</v>
      </c>
      <c r="D340" s="87">
        <v>10.017178946371002</v>
      </c>
      <c r="E340" s="87">
        <v>35.584418758346636</v>
      </c>
      <c r="F340" s="87">
        <v>2.2301269075855483</v>
      </c>
      <c r="G340" s="87">
        <v>0.66165251449737095</v>
      </c>
    </row>
    <row r="341" spans="2:7" x14ac:dyDescent="0.3">
      <c r="B341" s="72" t="s">
        <v>94</v>
      </c>
      <c r="C341" s="87">
        <v>8.3332942919798914</v>
      </c>
      <c r="D341" s="87">
        <v>0.38661068675530114</v>
      </c>
      <c r="E341" s="87">
        <v>0.27297187594285177</v>
      </c>
      <c r="F341" s="87">
        <v>4.1043144040839561</v>
      </c>
      <c r="G341" s="87">
        <v>0.60457568638668147</v>
      </c>
    </row>
    <row r="342" spans="2:7" x14ac:dyDescent="0.3">
      <c r="B342" s="72" t="s">
        <v>95</v>
      </c>
      <c r="C342" s="87">
        <v>1.2956505637304945E-2</v>
      </c>
      <c r="D342" s="87">
        <v>4.4018491348206082E-2</v>
      </c>
      <c r="E342" s="87">
        <v>1.3332407926000123</v>
      </c>
      <c r="F342" s="87">
        <v>4.1299533342220025</v>
      </c>
      <c r="G342" s="87">
        <v>8.1628752836155173E-4</v>
      </c>
    </row>
    <row r="343" spans="2:7" ht="16.2" thickBot="1" x14ac:dyDescent="0.35">
      <c r="B343" s="85" t="s">
        <v>97</v>
      </c>
      <c r="C343" s="88">
        <v>12.539291460315004</v>
      </c>
      <c r="D343" s="88">
        <v>0.10472324817720399</v>
      </c>
      <c r="E343" s="88">
        <v>0.16218814800305348</v>
      </c>
      <c r="F343" s="88">
        <v>2.033231493103921</v>
      </c>
      <c r="G343" s="88">
        <v>4.4734426434583447</v>
      </c>
    </row>
    <row r="346" spans="2:7" x14ac:dyDescent="0.3">
      <c r="B346" t="s">
        <v>153</v>
      </c>
    </row>
    <row r="347" spans="2:7" ht="16.2" thickBot="1" x14ac:dyDescent="0.35"/>
    <row r="348" spans="2:7" x14ac:dyDescent="0.3">
      <c r="B348" s="74"/>
      <c r="C348" s="75" t="s">
        <v>154</v>
      </c>
    </row>
    <row r="349" spans="2:7" x14ac:dyDescent="0.3">
      <c r="B349" s="84" t="s">
        <v>122</v>
      </c>
      <c r="C349" s="86">
        <v>0.34375000000000006</v>
      </c>
    </row>
    <row r="350" spans="2:7" x14ac:dyDescent="0.3">
      <c r="B350" s="72" t="s">
        <v>123</v>
      </c>
      <c r="C350" s="87">
        <v>0.21874999999999997</v>
      </c>
    </row>
    <row r="351" spans="2:7" x14ac:dyDescent="0.3">
      <c r="B351" s="72" t="s">
        <v>124</v>
      </c>
      <c r="C351" s="87">
        <v>0.21875000000000003</v>
      </c>
    </row>
    <row r="352" spans="2:7" x14ac:dyDescent="0.3">
      <c r="B352" s="72" t="s">
        <v>125</v>
      </c>
      <c r="C352" s="87">
        <v>0.31250000000000006</v>
      </c>
    </row>
    <row r="353" spans="2:3" ht="16.2" thickBot="1" x14ac:dyDescent="0.35">
      <c r="B353" s="85" t="s">
        <v>126</v>
      </c>
      <c r="C353" s="88">
        <v>0.34375000000000011</v>
      </c>
    </row>
    <row r="371" spans="2:7" x14ac:dyDescent="0.3">
      <c r="G371" t="s">
        <v>144</v>
      </c>
    </row>
    <row r="374" spans="2:7" x14ac:dyDescent="0.3">
      <c r="B374" t="s">
        <v>155</v>
      </c>
    </row>
    <row r="375" spans="2:7" ht="16.2" thickBot="1" x14ac:dyDescent="0.35"/>
    <row r="376" spans="2:7" x14ac:dyDescent="0.3">
      <c r="B376" s="74"/>
      <c r="C376" s="75" t="s">
        <v>122</v>
      </c>
      <c r="D376" s="75" t="s">
        <v>123</v>
      </c>
      <c r="E376" s="75" t="s">
        <v>124</v>
      </c>
      <c r="F376" s="75" t="s">
        <v>125</v>
      </c>
      <c r="G376" s="75" t="s">
        <v>126</v>
      </c>
    </row>
    <row r="377" spans="2:7" x14ac:dyDescent="0.3">
      <c r="B377" s="84" t="s">
        <v>63</v>
      </c>
      <c r="C377" s="86">
        <v>0.10141421784263994</v>
      </c>
      <c r="D377" s="89">
        <v>0.21781236335328336</v>
      </c>
      <c r="E377" s="86">
        <v>0.15662038883512611</v>
      </c>
      <c r="F377" s="86">
        <v>0.21518489523556186</v>
      </c>
      <c r="G377" s="86">
        <v>2.7380043353619848E-2</v>
      </c>
    </row>
    <row r="378" spans="2:7" x14ac:dyDescent="0.3">
      <c r="B378" s="72" t="s">
        <v>66</v>
      </c>
      <c r="C378" s="91">
        <v>0.51534575583037456</v>
      </c>
      <c r="D378" s="87">
        <v>1.2445676585931629E-2</v>
      </c>
      <c r="E378" s="87">
        <v>4.8686768884891969E-3</v>
      </c>
      <c r="F378" s="87">
        <v>1.4580770381147267E-4</v>
      </c>
      <c r="G378" s="87">
        <v>0.16520079747450014</v>
      </c>
    </row>
    <row r="379" spans="2:7" x14ac:dyDescent="0.3">
      <c r="B379" s="72" t="s">
        <v>67</v>
      </c>
      <c r="C379" s="91">
        <v>0.47018354937335638</v>
      </c>
      <c r="D379" s="87">
        <v>1.7014511751113837E-2</v>
      </c>
      <c r="E379" s="87">
        <v>2.2679436396433789E-2</v>
      </c>
      <c r="F379" s="87">
        <v>5.6566123296775551E-2</v>
      </c>
      <c r="G379" s="87">
        <v>9.9298244111535289E-2</v>
      </c>
    </row>
    <row r="380" spans="2:7" x14ac:dyDescent="0.3">
      <c r="B380" s="72" t="s">
        <v>68</v>
      </c>
      <c r="C380" s="87">
        <v>5.5880625744760187E-2</v>
      </c>
      <c r="D380" s="91">
        <v>0.58926806675896959</v>
      </c>
      <c r="E380" s="87">
        <v>0.11803076331559223</v>
      </c>
      <c r="F380" s="87">
        <v>1.8572126519672719E-2</v>
      </c>
      <c r="G380" s="87">
        <v>0.10078550980584512</v>
      </c>
    </row>
    <row r="381" spans="2:7" x14ac:dyDescent="0.3">
      <c r="B381" s="72" t="s">
        <v>69</v>
      </c>
      <c r="C381" s="91">
        <v>0.55834820941863039</v>
      </c>
      <c r="D381" s="87">
        <v>4.6583566633094037E-3</v>
      </c>
      <c r="E381" s="87">
        <v>6.8520139975110181E-2</v>
      </c>
      <c r="F381" s="87">
        <v>5.5196728893778472E-3</v>
      </c>
      <c r="G381" s="87">
        <v>1.9199211056969812E-2</v>
      </c>
    </row>
    <row r="382" spans="2:7" x14ac:dyDescent="0.3">
      <c r="B382" s="72" t="s">
        <v>70</v>
      </c>
      <c r="C382" s="91">
        <v>0.39899953773077435</v>
      </c>
      <c r="D382" s="87">
        <v>1.2651311109284679E-3</v>
      </c>
      <c r="E382" s="87">
        <v>0.26925080131635848</v>
      </c>
      <c r="F382" s="87">
        <v>1.1677212083837776E-2</v>
      </c>
      <c r="G382" s="87">
        <v>0.12165967008070656</v>
      </c>
    </row>
    <row r="383" spans="2:7" x14ac:dyDescent="0.3">
      <c r="B383" s="72" t="s">
        <v>27</v>
      </c>
      <c r="C383" s="87">
        <v>9.5877486061870493E-2</v>
      </c>
      <c r="D383" s="91">
        <v>0.2367454127157633</v>
      </c>
      <c r="E383" s="87">
        <v>1.9854840559501803E-3</v>
      </c>
      <c r="F383" s="87">
        <v>0.18847451600489487</v>
      </c>
      <c r="G383" s="87">
        <v>2.0671316477350644E-2</v>
      </c>
    </row>
    <row r="384" spans="2:7" x14ac:dyDescent="0.3">
      <c r="B384" s="72" t="s">
        <v>71</v>
      </c>
      <c r="C384" s="87">
        <v>1.5331630871095892E-2</v>
      </c>
      <c r="D384" s="91">
        <v>0.1036812091218292</v>
      </c>
      <c r="E384" s="87">
        <v>6.790592116498337E-5</v>
      </c>
      <c r="F384" s="87">
        <v>3.7386503679671917E-2</v>
      </c>
      <c r="G384" s="87">
        <v>5.2817376881294136E-3</v>
      </c>
    </row>
    <row r="385" spans="2:7" x14ac:dyDescent="0.3">
      <c r="B385" s="72" t="s">
        <v>72</v>
      </c>
      <c r="C385" s="87">
        <v>5.2604547552646826E-2</v>
      </c>
      <c r="D385" s="87">
        <v>0.15611720626779857</v>
      </c>
      <c r="E385" s="91">
        <v>0.33591252086052842</v>
      </c>
      <c r="F385" s="87">
        <v>4.5873617453654168E-3</v>
      </c>
      <c r="G385" s="87">
        <v>5.3246081727659766E-2</v>
      </c>
    </row>
    <row r="386" spans="2:7" x14ac:dyDescent="0.3">
      <c r="B386" s="72" t="s">
        <v>73</v>
      </c>
      <c r="C386" s="91">
        <v>0.40761100944883721</v>
      </c>
      <c r="D386" s="87">
        <v>2.0514565302645848E-2</v>
      </c>
      <c r="E386" s="87">
        <v>0.32458789514026609</v>
      </c>
      <c r="F386" s="87">
        <v>1.3771016904291881E-3</v>
      </c>
      <c r="G386" s="87">
        <v>1.6165732795170657E-2</v>
      </c>
    </row>
    <row r="387" spans="2:7" x14ac:dyDescent="0.3">
      <c r="B387" s="72" t="s">
        <v>75</v>
      </c>
      <c r="C387" s="91">
        <v>0.55906431771612519</v>
      </c>
      <c r="D387" s="87">
        <v>3.1342402422198955E-2</v>
      </c>
      <c r="E387" s="87">
        <v>2.0579658141082216E-2</v>
      </c>
      <c r="F387" s="87">
        <v>4.9373012780976125E-2</v>
      </c>
      <c r="G387" s="87">
        <v>0.23286433096757844</v>
      </c>
    </row>
    <row r="388" spans="2:7" x14ac:dyDescent="0.3">
      <c r="B388" s="72" t="s">
        <v>76</v>
      </c>
      <c r="C388" s="87">
        <v>2.3929300700063438E-2</v>
      </c>
      <c r="D388" s="91">
        <v>0.25911578689306702</v>
      </c>
      <c r="E388" s="87">
        <v>4.7828855290217687E-2</v>
      </c>
      <c r="F388" s="87">
        <v>2.0861805914137017E-2</v>
      </c>
      <c r="G388" s="87">
        <v>8.8826133272190883E-2</v>
      </c>
    </row>
    <row r="389" spans="2:7" x14ac:dyDescent="0.3">
      <c r="B389" s="72" t="s">
        <v>77</v>
      </c>
      <c r="C389" s="91">
        <v>0.65133835031458853</v>
      </c>
      <c r="D389" s="87">
        <v>1.2017062174369993E-2</v>
      </c>
      <c r="E389" s="87">
        <v>4.837412593790201E-2</v>
      </c>
      <c r="F389" s="87">
        <v>4.5027308267224481E-2</v>
      </c>
      <c r="G389" s="87">
        <v>3.8075233575169079E-2</v>
      </c>
    </row>
    <row r="390" spans="2:7" x14ac:dyDescent="0.3">
      <c r="B390" s="72" t="s">
        <v>78</v>
      </c>
      <c r="C390" s="91">
        <v>0.73278729118543673</v>
      </c>
      <c r="D390" s="87">
        <v>5.1007681258909508E-3</v>
      </c>
      <c r="E390" s="87">
        <v>1.756290150365843E-2</v>
      </c>
      <c r="F390" s="87">
        <v>0.18822578243054816</v>
      </c>
      <c r="G390" s="87">
        <v>2.8164666613937303E-3</v>
      </c>
    </row>
    <row r="391" spans="2:7" x14ac:dyDescent="0.3">
      <c r="B391" s="72" t="s">
        <v>79</v>
      </c>
      <c r="C391" s="91">
        <v>0.76169195092840425</v>
      </c>
      <c r="D391" s="87">
        <v>1.4763122394761775E-2</v>
      </c>
      <c r="E391" s="87">
        <v>5.9447611949455365E-5</v>
      </c>
      <c r="F391" s="87">
        <v>0.16348279775890659</v>
      </c>
      <c r="G391" s="87">
        <v>1.3391810666775885E-2</v>
      </c>
    </row>
    <row r="392" spans="2:7" x14ac:dyDescent="0.3">
      <c r="B392" s="72" t="s">
        <v>29</v>
      </c>
      <c r="C392" s="87">
        <v>4.8534294334838794E-2</v>
      </c>
      <c r="D392" s="87">
        <v>0.19078476083100632</v>
      </c>
      <c r="E392" s="91">
        <v>0.2395979480403089</v>
      </c>
      <c r="F392" s="87">
        <v>0.1509016912488346</v>
      </c>
      <c r="G392" s="87">
        <v>2.5390020653272105E-3</v>
      </c>
    </row>
    <row r="393" spans="2:7" x14ac:dyDescent="0.3">
      <c r="B393" s="72" t="s">
        <v>80</v>
      </c>
      <c r="C393" s="91">
        <v>0.45624560181334695</v>
      </c>
      <c r="D393" s="87">
        <v>7.1421422832925706E-3</v>
      </c>
      <c r="E393" s="87">
        <v>4.7102415034249279E-2</v>
      </c>
      <c r="F393" s="87">
        <v>0.30139406171632943</v>
      </c>
      <c r="G393" s="87">
        <v>4.5644762698984251E-2</v>
      </c>
    </row>
    <row r="394" spans="2:7" x14ac:dyDescent="0.3">
      <c r="B394" s="72" t="s">
        <v>82</v>
      </c>
      <c r="C394" s="87">
        <v>6.5204990039898186E-2</v>
      </c>
      <c r="D394" s="87">
        <v>4.470450723831994E-4</v>
      </c>
      <c r="E394" s="87">
        <v>2.8390203126484151E-4</v>
      </c>
      <c r="F394" s="91">
        <v>0.51366690767991796</v>
      </c>
      <c r="G394" s="87">
        <v>4.1582398857297552E-2</v>
      </c>
    </row>
    <row r="395" spans="2:7" x14ac:dyDescent="0.3">
      <c r="B395" s="72" t="s">
        <v>28</v>
      </c>
      <c r="C395" s="87">
        <v>3.9340691060959655E-3</v>
      </c>
      <c r="D395" s="91">
        <v>0.27804798216916971</v>
      </c>
      <c r="E395" s="87">
        <v>0.2142931919135711</v>
      </c>
      <c r="F395" s="87">
        <v>1.7418945432834695E-6</v>
      </c>
      <c r="G395" s="87">
        <v>3.1654115230753885E-2</v>
      </c>
    </row>
    <row r="396" spans="2:7" x14ac:dyDescent="0.3">
      <c r="B396" s="72" t="s">
        <v>83</v>
      </c>
      <c r="C396" s="87">
        <v>0.30148176047336417</v>
      </c>
      <c r="D396" s="91">
        <v>0.42682708366386957</v>
      </c>
      <c r="E396" s="87">
        <v>3.58701604397011E-2</v>
      </c>
      <c r="F396" s="87">
        <v>4.4392195122219827E-2</v>
      </c>
      <c r="G396" s="87">
        <v>2.2139944454361706E-2</v>
      </c>
    </row>
    <row r="397" spans="2:7" x14ac:dyDescent="0.3">
      <c r="B397" s="72" t="s">
        <v>85</v>
      </c>
      <c r="C397" s="87">
        <v>1.6267919980781767E-2</v>
      </c>
      <c r="D397" s="87">
        <v>2.024652283197755E-4</v>
      </c>
      <c r="E397" s="91">
        <v>0.46058254734773507</v>
      </c>
      <c r="F397" s="87">
        <v>4.3660800058475252E-2</v>
      </c>
      <c r="G397" s="87">
        <v>0.13921905158583539</v>
      </c>
    </row>
    <row r="398" spans="2:7" x14ac:dyDescent="0.3">
      <c r="B398" s="72" t="s">
        <v>86</v>
      </c>
      <c r="C398" s="87">
        <v>2.6058079702858884E-3</v>
      </c>
      <c r="D398" s="87">
        <v>0.2252840797826445</v>
      </c>
      <c r="E398" s="87">
        <v>3.147573741376903E-2</v>
      </c>
      <c r="F398" s="91">
        <v>0.31994504935288925</v>
      </c>
      <c r="G398" s="87">
        <v>1.1656164420025863E-2</v>
      </c>
    </row>
    <row r="399" spans="2:7" x14ac:dyDescent="0.3">
      <c r="B399" s="72" t="s">
        <v>87</v>
      </c>
      <c r="C399" s="87">
        <v>4.8586004078057174E-2</v>
      </c>
      <c r="D399" s="91">
        <v>0.74322637050016616</v>
      </c>
      <c r="E399" s="87">
        <v>2.1305882239584961E-2</v>
      </c>
      <c r="F399" s="87">
        <v>4.5111402468758992E-2</v>
      </c>
      <c r="G399" s="87">
        <v>4.3662944064731618E-2</v>
      </c>
    </row>
    <row r="400" spans="2:7" x14ac:dyDescent="0.3">
      <c r="B400" s="72" t="s">
        <v>88</v>
      </c>
      <c r="C400" s="91">
        <v>0.33493143194391145</v>
      </c>
      <c r="D400" s="87">
        <v>0.23409434459287604</v>
      </c>
      <c r="E400" s="87">
        <v>0.17921135188855342</v>
      </c>
      <c r="F400" s="87">
        <v>1.120585416638795E-2</v>
      </c>
      <c r="G400" s="87">
        <v>5.4652022185176966E-2</v>
      </c>
    </row>
    <row r="401" spans="2:7" x14ac:dyDescent="0.3">
      <c r="B401" s="72" t="s">
        <v>89</v>
      </c>
      <c r="C401" s="91">
        <v>0.56992363200898211</v>
      </c>
      <c r="D401" s="87">
        <v>7.1736819826922283E-3</v>
      </c>
      <c r="E401" s="87">
        <v>6.3258330484235112E-2</v>
      </c>
      <c r="F401" s="87">
        <v>3.9651456917488309E-2</v>
      </c>
      <c r="G401" s="87">
        <v>7.2020488766363546E-3</v>
      </c>
    </row>
    <row r="402" spans="2:7" x14ac:dyDescent="0.3">
      <c r="B402" s="72" t="s">
        <v>90</v>
      </c>
      <c r="C402" s="87">
        <v>3.6712984667784727E-2</v>
      </c>
      <c r="D402" s="87">
        <v>0.22475713100821598</v>
      </c>
      <c r="E402" s="87">
        <v>9.3261206129465465E-2</v>
      </c>
      <c r="F402" s="87">
        <v>1.5276350938750353E-2</v>
      </c>
      <c r="G402" s="91">
        <v>0.26834901382233572</v>
      </c>
    </row>
    <row r="403" spans="2:7" x14ac:dyDescent="0.3">
      <c r="B403" s="72" t="s">
        <v>91</v>
      </c>
      <c r="C403" s="87">
        <v>3.9765184319985929E-2</v>
      </c>
      <c r="D403" s="91">
        <v>0.50745046589693354</v>
      </c>
      <c r="E403" s="87">
        <v>9.6445464187418367E-2</v>
      </c>
      <c r="F403" s="87">
        <v>2.8262524899805783E-3</v>
      </c>
      <c r="G403" s="87">
        <v>1.2461179209084872E-3</v>
      </c>
    </row>
    <row r="404" spans="2:7" x14ac:dyDescent="0.3">
      <c r="B404" s="72" t="s">
        <v>92</v>
      </c>
      <c r="C404" s="87">
        <v>1.4675312825606048E-2</v>
      </c>
      <c r="D404" s="87">
        <v>0.12011417566986916</v>
      </c>
      <c r="E404" s="87">
        <v>0.13408172654565664</v>
      </c>
      <c r="F404" s="87">
        <v>1.1684432975053982E-2</v>
      </c>
      <c r="G404" s="91">
        <v>0.22772659246853594</v>
      </c>
    </row>
    <row r="405" spans="2:7" x14ac:dyDescent="0.3">
      <c r="B405" s="72" t="s">
        <v>93</v>
      </c>
      <c r="C405" s="87">
        <v>9.6439468813708018E-2</v>
      </c>
      <c r="D405" s="87">
        <v>0.22861010737761264</v>
      </c>
      <c r="E405" s="91">
        <v>0.62215925713698295</v>
      </c>
      <c r="F405" s="87">
        <v>2.4153520352168462E-2</v>
      </c>
      <c r="G405" s="87">
        <v>4.7802910135341667E-3</v>
      </c>
    </row>
    <row r="406" spans="2:7" x14ac:dyDescent="0.3">
      <c r="B406" s="72" t="s">
        <v>94</v>
      </c>
      <c r="C406" s="91">
        <v>0.75249832058114352</v>
      </c>
      <c r="D406" s="87">
        <v>1.8495474251575526E-2</v>
      </c>
      <c r="E406" s="87">
        <v>1.0004634262574766E-2</v>
      </c>
      <c r="F406" s="87">
        <v>9.3182230780999922E-2</v>
      </c>
      <c r="G406" s="87">
        <v>9.1562294662374151E-3</v>
      </c>
    </row>
    <row r="407" spans="2:7" x14ac:dyDescent="0.3">
      <c r="B407" s="72" t="s">
        <v>95</v>
      </c>
      <c r="C407" s="87">
        <v>5.0707583900512559E-3</v>
      </c>
      <c r="D407" s="87">
        <v>9.1268935397478875E-3</v>
      </c>
      <c r="E407" s="87">
        <v>0.21178154850543099</v>
      </c>
      <c r="F407" s="91">
        <v>0.40638141647494458</v>
      </c>
      <c r="G407" s="87">
        <v>5.3580327709252711E-5</v>
      </c>
    </row>
    <row r="408" spans="2:7" ht="16.2" thickBot="1" x14ac:dyDescent="0.35">
      <c r="B408" s="85" t="s">
        <v>97</v>
      </c>
      <c r="C408" s="93">
        <v>0.79279068559850552</v>
      </c>
      <c r="D408" s="88">
        <v>3.5077727292708492E-3</v>
      </c>
      <c r="E408" s="88">
        <v>4.1619719926696101E-3</v>
      </c>
      <c r="F408" s="88">
        <v>3.2320348545408398E-2</v>
      </c>
      <c r="G408" s="88">
        <v>4.7435620950848328E-2</v>
      </c>
    </row>
    <row r="409" spans="2:7" x14ac:dyDescent="0.3">
      <c r="B409" s="95" t="s">
        <v>156</v>
      </c>
    </row>
  </sheetData>
  <mergeCells count="1">
    <mergeCell ref="B1:L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DD621437">
              <controlPr defaultSize="0" autoFill="0" autoPict="0" macro="[0]!GoToResultsNew0403202315023047">
                <anchor moveWithCells="1">
                  <from>
                    <xdr:col>0</xdr:col>
                    <xdr:colOff>373380</xdr:colOff>
                    <xdr:row>9</xdr:row>
                    <xdr:rowOff>464820</xdr:rowOff>
                  </from>
                  <to>
                    <xdr:col>1</xdr:col>
                    <xdr:colOff>2049780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03FA4-CDC6-4A51-A18B-913B483791CF}">
  <sheetPr codeName="XLSTAT_20230403_150129_1_HID3"/>
  <dimension ref="A1:D32"/>
  <sheetViews>
    <sheetView workbookViewId="0">
      <selection activeCell="L29" sqref="L29"/>
    </sheetView>
  </sheetViews>
  <sheetFormatPr defaultColWidth="8.8984375" defaultRowHeight="15.6" x14ac:dyDescent="0.3"/>
  <sheetData>
    <row r="1" spans="1:4" x14ac:dyDescent="0.3">
      <c r="A1">
        <v>2.381765148736533</v>
      </c>
      <c r="B1">
        <v>0.46504218071130593</v>
      </c>
      <c r="C1">
        <v>-1.1176002470421291</v>
      </c>
      <c r="D1">
        <v>-1.6378658582153469</v>
      </c>
    </row>
    <row r="2" spans="1:4" x14ac:dyDescent="0.3">
      <c r="A2">
        <v>4.0239131019911261</v>
      </c>
      <c r="B2">
        <v>1.2269843656070934E-3</v>
      </c>
      <c r="C2">
        <v>3.0894935724065098</v>
      </c>
      <c r="D2">
        <v>0.48011712822909192</v>
      </c>
    </row>
    <row r="3" spans="1:4" x14ac:dyDescent="0.3">
      <c r="A3">
        <v>0.74500703044509109</v>
      </c>
      <c r="B3">
        <v>-0.51500753972398328</v>
      </c>
      <c r="C3">
        <v>-2.1629977612269609</v>
      </c>
      <c r="D3">
        <v>0.41146424321119507</v>
      </c>
    </row>
    <row r="4" spans="1:4" x14ac:dyDescent="0.3">
      <c r="A4">
        <v>0.51946235798049156</v>
      </c>
      <c r="B4">
        <v>-1.2264387167651405</v>
      </c>
      <c r="C4">
        <v>1.4021524395576326</v>
      </c>
      <c r="D4">
        <v>4.5532453733567442</v>
      </c>
    </row>
    <row r="5" spans="1:4" x14ac:dyDescent="0.3">
      <c r="A5">
        <v>1.3388385697675587</v>
      </c>
      <c r="B5">
        <v>0.18843383326313831</v>
      </c>
      <c r="C5">
        <v>-1.9140849749815498</v>
      </c>
      <c r="D5">
        <v>0.17483364772030288</v>
      </c>
    </row>
    <row r="6" spans="1:4" x14ac:dyDescent="0.3">
      <c r="A6">
        <v>2.1585815505187131</v>
      </c>
      <c r="B6">
        <v>4.0444671190562276E-2</v>
      </c>
      <c r="C6">
        <v>-1.9014350450250272</v>
      </c>
      <c r="D6">
        <v>-0.10706883214033636</v>
      </c>
    </row>
    <row r="7" spans="1:4" x14ac:dyDescent="0.3">
      <c r="A7">
        <v>2.8407697151660241</v>
      </c>
      <c r="B7">
        <v>2.5341852923566077</v>
      </c>
      <c r="C7">
        <v>1.1707818361686668</v>
      </c>
      <c r="D7">
        <v>-1.8397484398285442</v>
      </c>
    </row>
    <row r="8" spans="1:4" x14ac:dyDescent="0.3">
      <c r="A8">
        <v>1.955108840186002</v>
      </c>
      <c r="B8">
        <v>-0.24877702557746745</v>
      </c>
      <c r="C8">
        <v>0.50180113120308489</v>
      </c>
      <c r="D8">
        <v>1.3049308107389876</v>
      </c>
    </row>
    <row r="9" spans="1:4" x14ac:dyDescent="0.3">
      <c r="A9">
        <v>3.7468335371931123</v>
      </c>
      <c r="B9">
        <v>-0.71508520781080531</v>
      </c>
      <c r="C9">
        <v>-0.75227861258493911</v>
      </c>
      <c r="D9">
        <v>-1.2959625615354788</v>
      </c>
    </row>
    <row r="10" spans="1:4" x14ac:dyDescent="0.3">
      <c r="A10">
        <v>3.1509455533558191</v>
      </c>
      <c r="B10">
        <v>-1.3237517787309145</v>
      </c>
      <c r="C10">
        <v>3.4712157713407494</v>
      </c>
      <c r="D10">
        <v>0.77873521974909854</v>
      </c>
    </row>
    <row r="11" spans="1:4" x14ac:dyDescent="0.3">
      <c r="A11">
        <v>3.9696679840481353</v>
      </c>
      <c r="B11">
        <v>-0.53689289467628953</v>
      </c>
      <c r="C11">
        <v>-3.4982723256383168</v>
      </c>
      <c r="D11">
        <v>0.82830230233691415</v>
      </c>
    </row>
    <row r="12" spans="1:4" x14ac:dyDescent="0.3">
      <c r="A12">
        <v>3.6736095912238187</v>
      </c>
      <c r="B12">
        <v>4.5062950286814306E-2</v>
      </c>
      <c r="C12">
        <v>-0.33884205648649224</v>
      </c>
      <c r="D12">
        <v>1.115011231659617</v>
      </c>
    </row>
    <row r="13" spans="1:4" x14ac:dyDescent="0.3">
      <c r="A13">
        <v>1.0158224335458592</v>
      </c>
      <c r="B13">
        <v>-3.7404294137628651</v>
      </c>
      <c r="C13">
        <v>-3.0382376839576515</v>
      </c>
      <c r="D13">
        <v>0.41268394667183661</v>
      </c>
    </row>
    <row r="14" spans="1:4" x14ac:dyDescent="0.3">
      <c r="A14">
        <v>1.3374952133108395</v>
      </c>
      <c r="B14">
        <v>-3.8209440091759519</v>
      </c>
      <c r="C14">
        <v>4.5165582563532061</v>
      </c>
      <c r="D14">
        <v>0.37682216697577064</v>
      </c>
    </row>
    <row r="15" spans="1:4" x14ac:dyDescent="0.3">
      <c r="A15">
        <v>2.8217872643452142</v>
      </c>
      <c r="B15">
        <v>-1.5076606545693747</v>
      </c>
      <c r="C15">
        <v>-4.5296208242017819</v>
      </c>
      <c r="D15">
        <v>-0.63061061317440137</v>
      </c>
    </row>
    <row r="16" spans="1:4" x14ac:dyDescent="0.3">
      <c r="A16">
        <v>1.9458302462799686</v>
      </c>
      <c r="B16">
        <v>-1.5509608512926505</v>
      </c>
      <c r="C16">
        <v>0.88141483749165461</v>
      </c>
      <c r="D16">
        <v>-1.747542868918379</v>
      </c>
    </row>
    <row r="17" spans="1:4" x14ac:dyDescent="0.3">
      <c r="A17">
        <v>0.50796194659860994</v>
      </c>
      <c r="B17">
        <v>4.7787131501108586</v>
      </c>
      <c r="C17">
        <v>-4.4923622347060208</v>
      </c>
      <c r="D17">
        <v>0.562069049140838</v>
      </c>
    </row>
    <row r="18" spans="1:4" x14ac:dyDescent="0.3">
      <c r="A18">
        <v>1.5763912254427226</v>
      </c>
      <c r="B18">
        <v>4.8544321603099423</v>
      </c>
      <c r="C18">
        <v>-0.66593799005466559</v>
      </c>
      <c r="D18">
        <v>5.5140288063958265E-2</v>
      </c>
    </row>
    <row r="19" spans="1:4" x14ac:dyDescent="0.3">
      <c r="A19">
        <v>1.6065917501224087</v>
      </c>
      <c r="B19">
        <v>4.8391372277218512</v>
      </c>
      <c r="C19">
        <v>0.20494769071710739</v>
      </c>
      <c r="D19">
        <v>1.7229866433375445</v>
      </c>
    </row>
    <row r="20" spans="1:4" x14ac:dyDescent="0.3">
      <c r="C20">
        <v>2.352526003651084</v>
      </c>
      <c r="D20">
        <v>2.7991740018013331</v>
      </c>
    </row>
    <row r="21" spans="1:4" x14ac:dyDescent="0.3">
      <c r="C21">
        <v>-0.36283972655382851</v>
      </c>
      <c r="D21">
        <v>-4.04784655512338E-2</v>
      </c>
    </row>
    <row r="22" spans="1:4" x14ac:dyDescent="0.3">
      <c r="C22">
        <v>-0.13291362524973344</v>
      </c>
      <c r="D22">
        <v>-1.2358437079294931</v>
      </c>
    </row>
    <row r="23" spans="1:4" x14ac:dyDescent="0.3">
      <c r="C23">
        <v>1.2466414185530392</v>
      </c>
      <c r="D23">
        <v>4.8758071058874339</v>
      </c>
    </row>
    <row r="24" spans="1:4" x14ac:dyDescent="0.3">
      <c r="C24">
        <v>3.9019553312626472</v>
      </c>
      <c r="D24">
        <v>-3.2621190106651703</v>
      </c>
    </row>
    <row r="25" spans="1:4" x14ac:dyDescent="0.3">
      <c r="C25">
        <v>-2.9202550300801864</v>
      </c>
      <c r="D25">
        <v>0.32762988391041126</v>
      </c>
    </row>
    <row r="26" spans="1:4" x14ac:dyDescent="0.3">
      <c r="C26">
        <v>0.6841091920078004</v>
      </c>
      <c r="D26">
        <v>-1.6926700865099673</v>
      </c>
    </row>
    <row r="27" spans="1:4" x14ac:dyDescent="0.3">
      <c r="C27">
        <v>0.74190707929237643</v>
      </c>
      <c r="D27">
        <v>-2.6502988188423982</v>
      </c>
    </row>
    <row r="28" spans="1:4" x14ac:dyDescent="0.3">
      <c r="C28">
        <v>0.44571086349096817</v>
      </c>
      <c r="D28">
        <v>-1.275136473148772</v>
      </c>
    </row>
    <row r="29" spans="1:4" x14ac:dyDescent="0.3">
      <c r="C29">
        <v>2.1253277635105863</v>
      </c>
      <c r="D29">
        <v>-3.2722481023752765</v>
      </c>
    </row>
    <row r="30" spans="1:4" x14ac:dyDescent="0.3">
      <c r="C30">
        <v>-4.1004400570503217</v>
      </c>
      <c r="D30">
        <v>-0.64285116582641355</v>
      </c>
    </row>
    <row r="31" spans="1:4" x14ac:dyDescent="0.3">
      <c r="C31">
        <v>0.16168363034357591</v>
      </c>
      <c r="D31">
        <v>0.21691574932041618</v>
      </c>
    </row>
    <row r="32" spans="1:4" x14ac:dyDescent="0.3">
      <c r="C32">
        <v>5.0298913774889069</v>
      </c>
      <c r="D32">
        <v>0.33457621254971759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ABE3D-A2F8-43D4-9F15-367D34A5AF7B}">
  <sheetPr codeName="XLSTAT_20230403_150129_1_HID2"/>
  <dimension ref="A1:B32"/>
  <sheetViews>
    <sheetView workbookViewId="0"/>
  </sheetViews>
  <sheetFormatPr defaultColWidth="8.8984375" defaultRowHeight="15.6" x14ac:dyDescent="0.3"/>
  <sheetData>
    <row r="1" spans="1:2" x14ac:dyDescent="0.3">
      <c r="A1">
        <v>-1.1176002470421291</v>
      </c>
      <c r="B1">
        <v>-1.6378658582153469</v>
      </c>
    </row>
    <row r="2" spans="1:2" x14ac:dyDescent="0.3">
      <c r="A2">
        <v>3.0894935724065098</v>
      </c>
      <c r="B2">
        <v>0.48011712822909192</v>
      </c>
    </row>
    <row r="3" spans="1:2" x14ac:dyDescent="0.3">
      <c r="A3">
        <v>-2.1629977612269609</v>
      </c>
      <c r="B3">
        <v>0.41146424321119507</v>
      </c>
    </row>
    <row r="4" spans="1:2" x14ac:dyDescent="0.3">
      <c r="A4">
        <v>1.4021524395576326</v>
      </c>
      <c r="B4">
        <v>4.5532453733567442</v>
      </c>
    </row>
    <row r="5" spans="1:2" x14ac:dyDescent="0.3">
      <c r="A5">
        <v>-1.9140849749815498</v>
      </c>
      <c r="B5">
        <v>0.17483364772030288</v>
      </c>
    </row>
    <row r="6" spans="1:2" x14ac:dyDescent="0.3">
      <c r="A6">
        <v>-1.9014350450250272</v>
      </c>
      <c r="B6">
        <v>-0.10706883214033636</v>
      </c>
    </row>
    <row r="7" spans="1:2" x14ac:dyDescent="0.3">
      <c r="A7">
        <v>1.1707818361686668</v>
      </c>
      <c r="B7">
        <v>-1.8397484398285442</v>
      </c>
    </row>
    <row r="8" spans="1:2" x14ac:dyDescent="0.3">
      <c r="A8">
        <v>0.50180113120308489</v>
      </c>
      <c r="B8">
        <v>1.3049308107389876</v>
      </c>
    </row>
    <row r="9" spans="1:2" x14ac:dyDescent="0.3">
      <c r="A9">
        <v>-0.75227861258493911</v>
      </c>
      <c r="B9">
        <v>-1.2959625615354788</v>
      </c>
    </row>
    <row r="10" spans="1:2" x14ac:dyDescent="0.3">
      <c r="A10">
        <v>3.4712157713407494</v>
      </c>
      <c r="B10">
        <v>0.77873521974909854</v>
      </c>
    </row>
    <row r="11" spans="1:2" x14ac:dyDescent="0.3">
      <c r="A11">
        <v>-3.4982723256383168</v>
      </c>
      <c r="B11">
        <v>0.82830230233691415</v>
      </c>
    </row>
    <row r="12" spans="1:2" x14ac:dyDescent="0.3">
      <c r="A12">
        <v>-0.33884205648649224</v>
      </c>
      <c r="B12">
        <v>1.115011231659617</v>
      </c>
    </row>
    <row r="13" spans="1:2" x14ac:dyDescent="0.3">
      <c r="A13">
        <v>-3.0382376839576515</v>
      </c>
      <c r="B13">
        <v>0.41268394667183661</v>
      </c>
    </row>
    <row r="14" spans="1:2" x14ac:dyDescent="0.3">
      <c r="A14">
        <v>4.5165582563532061</v>
      </c>
      <c r="B14">
        <v>0.37682216697577064</v>
      </c>
    </row>
    <row r="15" spans="1:2" x14ac:dyDescent="0.3">
      <c r="A15">
        <v>-4.5296208242017819</v>
      </c>
      <c r="B15">
        <v>-0.63061061317440137</v>
      </c>
    </row>
    <row r="16" spans="1:2" x14ac:dyDescent="0.3">
      <c r="A16">
        <v>0.88141483749165461</v>
      </c>
      <c r="B16">
        <v>-1.747542868918379</v>
      </c>
    </row>
    <row r="17" spans="1:2" x14ac:dyDescent="0.3">
      <c r="A17">
        <v>-4.4923622347060208</v>
      </c>
      <c r="B17">
        <v>0.562069049140838</v>
      </c>
    </row>
    <row r="18" spans="1:2" x14ac:dyDescent="0.3">
      <c r="A18">
        <v>-0.66593799005466559</v>
      </c>
      <c r="B18">
        <v>5.5140288063958265E-2</v>
      </c>
    </row>
    <row r="19" spans="1:2" x14ac:dyDescent="0.3">
      <c r="A19">
        <v>0.20494769071710739</v>
      </c>
      <c r="B19">
        <v>1.7229866433375445</v>
      </c>
    </row>
    <row r="20" spans="1:2" x14ac:dyDescent="0.3">
      <c r="A20">
        <v>2.352526003651084</v>
      </c>
      <c r="B20">
        <v>2.7991740018013331</v>
      </c>
    </row>
    <row r="21" spans="1:2" x14ac:dyDescent="0.3">
      <c r="A21">
        <v>-0.36283972655382851</v>
      </c>
      <c r="B21">
        <v>-4.04784655512338E-2</v>
      </c>
    </row>
    <row r="22" spans="1:2" x14ac:dyDescent="0.3">
      <c r="A22">
        <v>-0.13291362524973344</v>
      </c>
      <c r="B22">
        <v>-1.2358437079294931</v>
      </c>
    </row>
    <row r="23" spans="1:2" x14ac:dyDescent="0.3">
      <c r="A23">
        <v>1.2466414185530392</v>
      </c>
      <c r="B23">
        <v>4.8758071058874339</v>
      </c>
    </row>
    <row r="24" spans="1:2" x14ac:dyDescent="0.3">
      <c r="A24">
        <v>3.9019553312626472</v>
      </c>
      <c r="B24">
        <v>-3.2621190106651703</v>
      </c>
    </row>
    <row r="25" spans="1:2" x14ac:dyDescent="0.3">
      <c r="A25">
        <v>-2.9202550300801864</v>
      </c>
      <c r="B25">
        <v>0.32762988391041126</v>
      </c>
    </row>
    <row r="26" spans="1:2" x14ac:dyDescent="0.3">
      <c r="A26">
        <v>0.6841091920078004</v>
      </c>
      <c r="B26">
        <v>-1.6926700865099673</v>
      </c>
    </row>
    <row r="27" spans="1:2" x14ac:dyDescent="0.3">
      <c r="A27">
        <v>0.74190707929237643</v>
      </c>
      <c r="B27">
        <v>-2.6502988188423982</v>
      </c>
    </row>
    <row r="28" spans="1:2" x14ac:dyDescent="0.3">
      <c r="A28">
        <v>0.44571086349096817</v>
      </c>
      <c r="B28">
        <v>-1.275136473148772</v>
      </c>
    </row>
    <row r="29" spans="1:2" x14ac:dyDescent="0.3">
      <c r="A29">
        <v>2.1253277635105863</v>
      </c>
      <c r="B29">
        <v>-3.2722481023752765</v>
      </c>
    </row>
    <row r="30" spans="1:2" x14ac:dyDescent="0.3">
      <c r="A30">
        <v>-4.1004400570503217</v>
      </c>
      <c r="B30">
        <v>-0.64285116582641355</v>
      </c>
    </row>
    <row r="31" spans="1:2" x14ac:dyDescent="0.3">
      <c r="A31">
        <v>0.16168363034357591</v>
      </c>
      <c r="B31">
        <v>0.21691574932041618</v>
      </c>
    </row>
    <row r="32" spans="1:2" x14ac:dyDescent="0.3">
      <c r="A32">
        <v>5.0298913774889069</v>
      </c>
      <c r="B32">
        <v>0.33457621254971759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004B-97CE-417B-8759-BD5E5490D936}">
  <sheetPr codeName="XLSTAT_20230403_150129_1_HID1"/>
  <dimension ref="A1:D500"/>
  <sheetViews>
    <sheetView workbookViewId="0"/>
  </sheetViews>
  <sheetFormatPr defaultColWidth="8.8984375" defaultRowHeight="15.6" x14ac:dyDescent="0.3"/>
  <sheetData>
    <row r="1" spans="1:4" x14ac:dyDescent="0.3">
      <c r="A1">
        <v>1</v>
      </c>
      <c r="B1">
        <f t="shared" ref="B1:B64" si="0">-3.14159265358979+(A1-1)*0.0125915537218028</f>
        <v>-3.14159265358979</v>
      </c>
      <c r="C1">
        <f t="shared" ref="C1:C64" si="1">1*COS(B1)+0</f>
        <v>-1</v>
      </c>
      <c r="D1">
        <f t="shared" ref="D1:D64" si="2">1*SIN(B1)+0+0*COS(B1)</f>
        <v>-3.2311393144413003E-15</v>
      </c>
    </row>
    <row r="2" spans="1:4" x14ac:dyDescent="0.3">
      <c r="A2">
        <v>2</v>
      </c>
      <c r="B2">
        <f t="shared" si="0"/>
        <v>-3.1290010998679874</v>
      </c>
      <c r="C2">
        <f t="shared" si="1"/>
        <v>-0.99992072743481419</v>
      </c>
      <c r="D2">
        <f t="shared" si="2"/>
        <v>-1.2591220998459735E-2</v>
      </c>
    </row>
    <row r="3" spans="1:4" x14ac:dyDescent="0.3">
      <c r="A3">
        <v>3</v>
      </c>
      <c r="B3">
        <f t="shared" si="0"/>
        <v>-3.1164095461461843</v>
      </c>
      <c r="C3">
        <f t="shared" si="1"/>
        <v>-0.99968292230753597</v>
      </c>
      <c r="D3">
        <f t="shared" si="2"/>
        <v>-2.5180445720141945E-2</v>
      </c>
    </row>
    <row r="4" spans="1:4" x14ac:dyDescent="0.3">
      <c r="A4">
        <v>4</v>
      </c>
      <c r="B4">
        <f t="shared" si="0"/>
        <v>-3.1038179924243816</v>
      </c>
      <c r="C4">
        <f t="shared" si="1"/>
        <v>-0.99928662232101029</v>
      </c>
      <c r="D4">
        <f t="shared" si="2"/>
        <v>-3.7765678204774195E-2</v>
      </c>
    </row>
    <row r="5" spans="1:4" x14ac:dyDescent="0.3">
      <c r="A5">
        <v>5</v>
      </c>
      <c r="B5">
        <f t="shared" si="0"/>
        <v>-3.091226438702579</v>
      </c>
      <c r="C5">
        <f t="shared" si="1"/>
        <v>-0.9987318903066702</v>
      </c>
      <c r="D5">
        <f t="shared" si="2"/>
        <v>-5.0344923125031901E-2</v>
      </c>
    </row>
    <row r="6" spans="1:4" x14ac:dyDescent="0.3">
      <c r="A6">
        <v>6</v>
      </c>
      <c r="B6">
        <f t="shared" si="0"/>
        <v>-3.0786348849807759</v>
      </c>
      <c r="C6">
        <f t="shared" si="1"/>
        <v>-0.99801881421457506</v>
      </c>
      <c r="D6">
        <f t="shared" si="2"/>
        <v>-6.291618610288964E-2</v>
      </c>
    </row>
    <row r="7" spans="1:4" x14ac:dyDescent="0.3">
      <c r="A7">
        <v>7</v>
      </c>
      <c r="B7">
        <f t="shared" si="0"/>
        <v>-3.0660433312589732</v>
      </c>
      <c r="C7">
        <f t="shared" si="1"/>
        <v>-0.99714750709946709</v>
      </c>
      <c r="D7">
        <f t="shared" si="2"/>
        <v>-7.547747402581878E-2</v>
      </c>
    </row>
    <row r="8" spans="1:4" x14ac:dyDescent="0.3">
      <c r="A8">
        <v>8</v>
      </c>
      <c r="B8">
        <f t="shared" si="0"/>
        <v>-3.0534517775371706</v>
      </c>
      <c r="C8">
        <f t="shared" si="1"/>
        <v>-0.99611810710284643</v>
      </c>
      <c r="D8">
        <f t="shared" si="2"/>
        <v>-8.8026795362788374E-2</v>
      </c>
    </row>
    <row r="9" spans="1:4" x14ac:dyDescent="0.3">
      <c r="A9">
        <v>9</v>
      </c>
      <c r="B9">
        <f t="shared" si="0"/>
        <v>-3.0408602238153675</v>
      </c>
      <c r="C9">
        <f t="shared" si="1"/>
        <v>-0.9949307774310695</v>
      </c>
      <c r="D9">
        <f t="shared" si="2"/>
        <v>-0.10056216048001143</v>
      </c>
    </row>
    <row r="10" spans="1:4" x14ac:dyDescent="0.3">
      <c r="A10">
        <v>10</v>
      </c>
      <c r="B10">
        <f t="shared" si="0"/>
        <v>-3.0282686700935648</v>
      </c>
      <c r="C10">
        <f t="shared" si="1"/>
        <v>-0.99358570632947418</v>
      </c>
      <c r="D10">
        <f t="shared" si="2"/>
        <v>-0.1130815819563903</v>
      </c>
    </row>
    <row r="11" spans="1:4" x14ac:dyDescent="0.3">
      <c r="A11">
        <v>11</v>
      </c>
      <c r="B11">
        <f t="shared" si="0"/>
        <v>-3.0156771163717622</v>
      </c>
      <c r="C11">
        <f t="shared" si="1"/>
        <v>-0.99208310705253355</v>
      </c>
      <c r="D11">
        <f t="shared" si="2"/>
        <v>-0.12558307489861525</v>
      </c>
    </row>
    <row r="12" spans="1:4" x14ac:dyDescent="0.3">
      <c r="A12">
        <v>12</v>
      </c>
      <c r="B12">
        <f t="shared" si="0"/>
        <v>-3.0030855626499591</v>
      </c>
      <c r="C12">
        <f t="shared" si="1"/>
        <v>-0.99042321783004583</v>
      </c>
      <c r="D12">
        <f t="shared" si="2"/>
        <v>-0.1380646572558584</v>
      </c>
    </row>
    <row r="13" spans="1:4" x14ac:dyDescent="0.3">
      <c r="A13">
        <v>13</v>
      </c>
      <c r="B13">
        <f t="shared" si="0"/>
        <v>-2.9904940089281564</v>
      </c>
      <c r="C13">
        <f t="shared" si="1"/>
        <v>-0.98860630182936415</v>
      </c>
      <c r="D13">
        <f t="shared" si="2"/>
        <v>-0.15052435013401677</v>
      </c>
    </row>
    <row r="14" spans="1:4" x14ac:dyDescent="0.3">
      <c r="A14">
        <v>14</v>
      </c>
      <c r="B14">
        <f t="shared" si="0"/>
        <v>-2.9779024552063538</v>
      </c>
      <c r="C14">
        <f t="shared" si="1"/>
        <v>-0.98663264711367293</v>
      </c>
      <c r="D14">
        <f t="shared" si="2"/>
        <v>-0.16296017810945904</v>
      </c>
    </row>
    <row r="15" spans="1:4" x14ac:dyDescent="0.3">
      <c r="A15">
        <v>15</v>
      </c>
      <c r="B15">
        <f t="shared" si="0"/>
        <v>-2.9653109014845507</v>
      </c>
      <c r="C15">
        <f t="shared" si="1"/>
        <v>-0.98450256659631608</v>
      </c>
      <c r="D15">
        <f t="shared" si="2"/>
        <v>-0.17537016954221801</v>
      </c>
    </row>
    <row r="16" spans="1:4" x14ac:dyDescent="0.3">
      <c r="A16">
        <v>16</v>
      </c>
      <c r="B16">
        <f t="shared" si="0"/>
        <v>-2.952719347762748</v>
      </c>
      <c r="C16">
        <f t="shared" si="1"/>
        <v>-0.9822163979911871</v>
      </c>
      <c r="D16">
        <f t="shared" si="2"/>
        <v>-0.18775235688858319</v>
      </c>
    </row>
    <row r="17" spans="1:4" x14ac:dyDescent="0.3">
      <c r="A17">
        <v>17</v>
      </c>
      <c r="B17">
        <f t="shared" si="0"/>
        <v>-2.9401277940409454</v>
      </c>
      <c r="C17">
        <f t="shared" si="1"/>
        <v>-0.97977450375918562</v>
      </c>
      <c r="D17">
        <f t="shared" si="2"/>
        <v>-0.20010477701304791</v>
      </c>
    </row>
    <row r="18" spans="1:4" x14ac:dyDescent="0.3">
      <c r="A18">
        <v>18</v>
      </c>
      <c r="B18">
        <f t="shared" si="0"/>
        <v>-2.9275362403191423</v>
      </c>
      <c r="C18">
        <f t="shared" si="1"/>
        <v>-0.9771772710507507</v>
      </c>
      <c r="D18">
        <f t="shared" si="2"/>
        <v>-0.21242547149955354</v>
      </c>
    </row>
    <row r="19" spans="1:4" x14ac:dyDescent="0.3">
      <c r="A19">
        <v>19</v>
      </c>
      <c r="B19">
        <f t="shared" si="0"/>
        <v>-2.9149446865973396</v>
      </c>
      <c r="C19">
        <f t="shared" si="1"/>
        <v>-0.97442511164448109</v>
      </c>
      <c r="D19">
        <f t="shared" si="2"/>
        <v>-0.22471248696198562</v>
      </c>
    </row>
    <row r="20" spans="1:4" x14ac:dyDescent="0.3">
      <c r="A20">
        <v>20</v>
      </c>
      <c r="B20">
        <f t="shared" si="0"/>
        <v>-2.902353132875537</v>
      </c>
      <c r="C20">
        <f t="shared" si="1"/>
        <v>-0.97151846188184843</v>
      </c>
      <c r="D20">
        <f t="shared" si="2"/>
        <v>-0.23696387535387617</v>
      </c>
    </row>
    <row r="21" spans="1:4" x14ac:dyDescent="0.3">
      <c r="A21">
        <v>21</v>
      </c>
      <c r="B21">
        <f t="shared" si="0"/>
        <v>-2.8897615791537339</v>
      </c>
      <c r="C21">
        <f t="shared" si="1"/>
        <v>-0.96845778259801829</v>
      </c>
      <c r="D21">
        <f t="shared" si="2"/>
        <v>-0.24917769427725583</v>
      </c>
    </row>
    <row r="22" spans="1:4" x14ac:dyDescent="0.3">
      <c r="A22">
        <v>22</v>
      </c>
      <c r="B22">
        <f t="shared" si="0"/>
        <v>-2.8771700254319312</v>
      </c>
      <c r="C22">
        <f t="shared" si="1"/>
        <v>-0.96524355904878689</v>
      </c>
      <c r="D22">
        <f t="shared" si="2"/>
        <v>-0.2613520072906102</v>
      </c>
    </row>
    <row r="23" spans="1:4" x14ac:dyDescent="0.3">
      <c r="A23">
        <v>23</v>
      </c>
      <c r="B23">
        <f t="shared" si="0"/>
        <v>-2.8645784717101286</v>
      </c>
      <c r="C23">
        <f t="shared" si="1"/>
        <v>-0.96187630083364573</v>
      </c>
      <c r="D23">
        <f t="shared" si="2"/>
        <v>-0.27348488421589578</v>
      </c>
    </row>
    <row r="24" spans="1:4" x14ac:dyDescent="0.3">
      <c r="A24">
        <v>24</v>
      </c>
      <c r="B24">
        <f t="shared" si="0"/>
        <v>-2.8519869179883255</v>
      </c>
      <c r="C24">
        <f t="shared" si="1"/>
        <v>-0.95835654181498742</v>
      </c>
      <c r="D24">
        <f t="shared" si="2"/>
        <v>-0.28557440144455914</v>
      </c>
    </row>
    <row r="25" spans="1:4" x14ac:dyDescent="0.3">
      <c r="A25">
        <v>25</v>
      </c>
      <c r="B25">
        <f t="shared" si="0"/>
        <v>-2.8393953642665228</v>
      </c>
      <c r="C25">
        <f t="shared" si="1"/>
        <v>-0.95468484003346477</v>
      </c>
      <c r="D25">
        <f t="shared" si="2"/>
        <v>-0.29761864224251428</v>
      </c>
    </row>
    <row r="26" spans="1:4" x14ac:dyDescent="0.3">
      <c r="A26">
        <v>26</v>
      </c>
      <c r="B26">
        <f t="shared" si="0"/>
        <v>-2.8268038105447202</v>
      </c>
      <c r="C26">
        <f t="shared" si="1"/>
        <v>-0.95086177761951529</v>
      </c>
      <c r="D26">
        <f t="shared" si="2"/>
        <v>-0.30961569705403402</v>
      </c>
    </row>
    <row r="27" spans="1:4" x14ac:dyDescent="0.3">
      <c r="A27">
        <v>27</v>
      </c>
      <c r="B27">
        <f t="shared" si="0"/>
        <v>-2.8142122568229171</v>
      </c>
      <c r="C27">
        <f t="shared" si="1"/>
        <v>-0.94688796070106762</v>
      </c>
      <c r="D27">
        <f t="shared" si="2"/>
        <v>-0.32156366380449974</v>
      </c>
    </row>
    <row r="28" spans="1:4" x14ac:dyDescent="0.3">
      <c r="A28">
        <v>28</v>
      </c>
      <c r="B28">
        <f t="shared" si="0"/>
        <v>-2.8016207031011144</v>
      </c>
      <c r="C28">
        <f t="shared" si="1"/>
        <v>-0.94276401930744358</v>
      </c>
      <c r="D28">
        <f t="shared" si="2"/>
        <v>-0.33346064820196436</v>
      </c>
    </row>
    <row r="29" spans="1:4" x14ac:dyDescent="0.3">
      <c r="A29">
        <v>29</v>
      </c>
      <c r="B29">
        <f t="shared" si="0"/>
        <v>-2.7890291493793118</v>
      </c>
      <c r="C29">
        <f t="shared" si="1"/>
        <v>-0.93849060726946865</v>
      </c>
      <c r="D29">
        <f t="shared" si="2"/>
        <v>-0.345304764037486</v>
      </c>
    </row>
    <row r="30" spans="1:4" x14ac:dyDescent="0.3">
      <c r="A30">
        <v>30</v>
      </c>
      <c r="B30">
        <f t="shared" si="0"/>
        <v>-2.7764375956575087</v>
      </c>
      <c r="C30">
        <f t="shared" si="1"/>
        <v>-0.93406840211581166</v>
      </c>
      <c r="D30">
        <f t="shared" si="2"/>
        <v>-0.35709413348417585</v>
      </c>
    </row>
    <row r="31" spans="1:4" x14ac:dyDescent="0.3">
      <c r="A31">
        <v>31</v>
      </c>
      <c r="B31">
        <f t="shared" si="0"/>
        <v>-2.763846041935706</v>
      </c>
      <c r="C31">
        <f t="shared" si="1"/>
        <v>-0.9294981049655654</v>
      </c>
      <c r="D31">
        <f t="shared" si="2"/>
        <v>-0.36882688739491704</v>
      </c>
    </row>
    <row r="32" spans="1:4" x14ac:dyDescent="0.3">
      <c r="A32">
        <v>32</v>
      </c>
      <c r="B32">
        <f t="shared" si="0"/>
        <v>-2.7512544882139034</v>
      </c>
      <c r="C32">
        <f t="shared" si="1"/>
        <v>-0.92478044041708718</v>
      </c>
      <c r="D32">
        <f t="shared" si="2"/>
        <v>-0.38050116559871172</v>
      </c>
    </row>
    <row r="33" spans="1:4" x14ac:dyDescent="0.3">
      <c r="A33">
        <v>33</v>
      </c>
      <c r="B33">
        <f t="shared" si="0"/>
        <v>-2.7386629344921003</v>
      </c>
      <c r="C33">
        <f t="shared" si="1"/>
        <v>-0.91991615643311786</v>
      </c>
      <c r="D33">
        <f t="shared" si="2"/>
        <v>-0.39211511719560044</v>
      </c>
    </row>
    <row r="34" spans="1:4" x14ac:dyDescent="0.3">
      <c r="A34">
        <v>34</v>
      </c>
      <c r="B34">
        <f t="shared" si="0"/>
        <v>-2.7260713807702976</v>
      </c>
      <c r="C34">
        <f t="shared" si="1"/>
        <v>-0.91490602422219602</v>
      </c>
      <c r="D34">
        <f t="shared" si="2"/>
        <v>-0.40366690085011231</v>
      </c>
    </row>
    <row r="35" spans="1:4" x14ac:dyDescent="0.3">
      <c r="A35">
        <v>35</v>
      </c>
      <c r="B35">
        <f t="shared" si="0"/>
        <v>-2.713479827048495</v>
      </c>
      <c r="C35">
        <f t="shared" si="1"/>
        <v>-0.90975083811638624</v>
      </c>
      <c r="D35">
        <f t="shared" si="2"/>
        <v>-0.41515468508320219</v>
      </c>
    </row>
    <row r="36" spans="1:4" x14ac:dyDescent="0.3">
      <c r="A36">
        <v>36</v>
      </c>
      <c r="B36">
        <f t="shared" si="0"/>
        <v>-2.7008882733266919</v>
      </c>
      <c r="C36">
        <f t="shared" si="1"/>
        <v>-0.90445141544534147</v>
      </c>
      <c r="D36">
        <f t="shared" si="2"/>
        <v>-0.42657664856262156</v>
      </c>
    </row>
    <row r="37" spans="1:4" x14ac:dyDescent="0.3">
      <c r="A37">
        <v>37</v>
      </c>
      <c r="B37">
        <f t="shared" si="0"/>
        <v>-2.6882967196048893</v>
      </c>
      <c r="C37">
        <f t="shared" si="1"/>
        <v>-0.89900859640672026</v>
      </c>
      <c r="D37">
        <f t="shared" si="2"/>
        <v>-0.43793098039168077</v>
      </c>
    </row>
    <row r="38" spans="1:4" x14ac:dyDescent="0.3">
      <c r="A38">
        <v>38</v>
      </c>
      <c r="B38">
        <f t="shared" si="0"/>
        <v>-2.6757051658830866</v>
      </c>
      <c r="C38">
        <f t="shared" si="1"/>
        <v>-0.89342324393297667</v>
      </c>
      <c r="D38">
        <f t="shared" si="2"/>
        <v>-0.44921588039636001</v>
      </c>
    </row>
    <row r="39" spans="1:4" x14ac:dyDescent="0.3">
      <c r="A39">
        <v>39</v>
      </c>
      <c r="B39">
        <f t="shared" si="0"/>
        <v>-2.6631136121612835</v>
      </c>
      <c r="C39">
        <f t="shared" si="1"/>
        <v>-0.88769624355454657</v>
      </c>
      <c r="D39">
        <f t="shared" si="2"/>
        <v>-0.46042955941071717</v>
      </c>
    </row>
    <row r="40" spans="1:4" x14ac:dyDescent="0.3">
      <c r="A40">
        <v>40</v>
      </c>
      <c r="B40">
        <f t="shared" si="0"/>
        <v>-2.6505220584394809</v>
      </c>
      <c r="C40">
        <f t="shared" si="1"/>
        <v>-0.88182850325945195</v>
      </c>
      <c r="D40">
        <f t="shared" si="2"/>
        <v>-0.47157023956055033</v>
      </c>
    </row>
    <row r="41" spans="1:4" x14ac:dyDescent="0.3">
      <c r="A41">
        <v>41</v>
      </c>
      <c r="B41">
        <f t="shared" si="0"/>
        <v>-2.6379305047176782</v>
      </c>
      <c r="C41">
        <f t="shared" si="1"/>
        <v>-0.87582095334934262</v>
      </c>
      <c r="D41">
        <f t="shared" si="2"/>
        <v>-0.48263615454527298</v>
      </c>
    </row>
    <row r="42" spans="1:4" x14ac:dyDescent="0.3">
      <c r="A42">
        <v>42</v>
      </c>
      <c r="B42">
        <f t="shared" si="0"/>
        <v>-2.6253389509958751</v>
      </c>
      <c r="C42">
        <f t="shared" si="1"/>
        <v>-0.86967454629200225</v>
      </c>
      <c r="D42">
        <f t="shared" si="2"/>
        <v>-0.4936255499179516</v>
      </c>
    </row>
    <row r="43" spans="1:4" x14ac:dyDescent="0.3">
      <c r="A43">
        <v>43</v>
      </c>
      <c r="B43">
        <f t="shared" si="0"/>
        <v>-2.6127473972740725</v>
      </c>
      <c r="C43">
        <f t="shared" si="1"/>
        <v>-0.8633902565703393</v>
      </c>
      <c r="D43">
        <f t="shared" si="2"/>
        <v>-0.50453668336346336</v>
      </c>
    </row>
    <row r="44" spans="1:4" x14ac:dyDescent="0.3">
      <c r="A44">
        <v>44</v>
      </c>
      <c r="B44">
        <f t="shared" si="0"/>
        <v>-2.6001558435522698</v>
      </c>
      <c r="C44">
        <f t="shared" si="1"/>
        <v>-0.8569690805278869</v>
      </c>
      <c r="D44">
        <f t="shared" si="2"/>
        <v>-0.51536782497473399</v>
      </c>
    </row>
    <row r="45" spans="1:4" x14ac:dyDescent="0.3">
      <c r="A45">
        <v>45</v>
      </c>
      <c r="B45">
        <f t="shared" si="0"/>
        <v>-2.5875642898304667</v>
      </c>
      <c r="C45">
        <f t="shared" si="1"/>
        <v>-0.85041203621083761</v>
      </c>
      <c r="D45">
        <f t="shared" si="2"/>
        <v>-0.52611725752700511</v>
      </c>
    </row>
    <row r="46" spans="1:4" x14ac:dyDescent="0.3">
      <c r="A46">
        <v>46</v>
      </c>
      <c r="B46">
        <f t="shared" si="0"/>
        <v>-2.5749727361086641</v>
      </c>
      <c r="C46">
        <f t="shared" si="1"/>
        <v>-0.84372016320663801</v>
      </c>
      <c r="D46">
        <f t="shared" si="2"/>
        <v>-0.53678327675009052</v>
      </c>
    </row>
    <row r="47" spans="1:4" x14ac:dyDescent="0.3">
      <c r="A47">
        <v>47</v>
      </c>
      <c r="B47">
        <f t="shared" si="0"/>
        <v>-2.5623811823868614</v>
      </c>
      <c r="C47">
        <f t="shared" si="1"/>
        <v>-0.83689452247916551</v>
      </c>
      <c r="D47">
        <f t="shared" si="2"/>
        <v>-0.54736419159858218</v>
      </c>
    </row>
    <row r="48" spans="1:4" x14ac:dyDescent="0.3">
      <c r="A48">
        <v>48</v>
      </c>
      <c r="B48">
        <f t="shared" si="0"/>
        <v>-2.5497896286650583</v>
      </c>
      <c r="C48">
        <f t="shared" si="1"/>
        <v>-0.82993619620051928</v>
      </c>
      <c r="D48">
        <f t="shared" si="2"/>
        <v>-0.55785832451995665</v>
      </c>
    </row>
    <row r="49" spans="1:4" x14ac:dyDescent="0.3">
      <c r="A49">
        <v>49</v>
      </c>
      <c r="B49">
        <f t="shared" si="0"/>
        <v>-2.5371980749432557</v>
      </c>
      <c r="C49">
        <f t="shared" si="1"/>
        <v>-0.82284628757944644</v>
      </c>
      <c r="D49">
        <f t="shared" si="2"/>
        <v>-0.56826401172054075</v>
      </c>
    </row>
    <row r="50" spans="1:4" x14ac:dyDescent="0.3">
      <c r="A50">
        <v>50</v>
      </c>
      <c r="B50">
        <f t="shared" si="0"/>
        <v>-2.524606521221453</v>
      </c>
      <c r="C50">
        <f t="shared" si="1"/>
        <v>-0.81562592068643358</v>
      </c>
      <c r="D50">
        <f t="shared" si="2"/>
        <v>-0.57857960342930126</v>
      </c>
    </row>
    <row r="51" spans="1:4" x14ac:dyDescent="0.3">
      <c r="A51">
        <v>51</v>
      </c>
      <c r="B51">
        <f t="shared" si="0"/>
        <v>-2.5120149674996499</v>
      </c>
      <c r="C51">
        <f t="shared" si="1"/>
        <v>-0.80827624027549083</v>
      </c>
      <c r="D51">
        <f t="shared" si="2"/>
        <v>-0.58880346415940599</v>
      </c>
    </row>
    <row r="52" spans="1:4" x14ac:dyDescent="0.3">
      <c r="A52">
        <v>52</v>
      </c>
      <c r="B52">
        <f t="shared" si="0"/>
        <v>-2.4994234137778473</v>
      </c>
      <c r="C52">
        <f t="shared" si="1"/>
        <v>-0.80079841160265763</v>
      </c>
      <c r="D52">
        <f t="shared" si="2"/>
        <v>-0.59893397296752204</v>
      </c>
    </row>
    <row r="53" spans="1:4" x14ac:dyDescent="0.3">
      <c r="A53">
        <v>53</v>
      </c>
      <c r="B53">
        <f t="shared" si="0"/>
        <v>-2.4868318600560446</v>
      </c>
      <c r="C53">
        <f t="shared" si="1"/>
        <v>-0.79319362024125561</v>
      </c>
      <c r="D53">
        <f t="shared" si="2"/>
        <v>-0.60896952371081003</v>
      </c>
    </row>
    <row r="54" spans="1:4" x14ac:dyDescent="0.3">
      <c r="A54">
        <v>54</v>
      </c>
      <c r="B54">
        <f t="shared" si="0"/>
        <v>-2.4742403063342415</v>
      </c>
      <c r="C54">
        <f t="shared" si="1"/>
        <v>-0.78546307189392217</v>
      </c>
      <c r="D54">
        <f t="shared" si="2"/>
        <v>-0.61890852530156926</v>
      </c>
    </row>
    <row r="55" spans="1:4" x14ac:dyDescent="0.3">
      <c r="A55">
        <v>55</v>
      </c>
      <c r="B55">
        <f t="shared" si="0"/>
        <v>-2.4616487526124389</v>
      </c>
      <c r="C55">
        <f t="shared" si="1"/>
        <v>-0.7776079922014536</v>
      </c>
      <c r="D55">
        <f t="shared" si="2"/>
        <v>-0.62874940195949613</v>
      </c>
    </row>
    <row r="56" spans="1:4" x14ac:dyDescent="0.3">
      <c r="A56">
        <v>56</v>
      </c>
      <c r="B56">
        <f t="shared" si="0"/>
        <v>-2.4490571988906362</v>
      </c>
      <c r="C56">
        <f t="shared" si="1"/>
        <v>-0.76962962654848344</v>
      </c>
      <c r="D56">
        <f t="shared" si="2"/>
        <v>-0.63849059346151837</v>
      </c>
    </row>
    <row r="57" spans="1:4" x14ac:dyDescent="0.3">
      <c r="A57">
        <v>57</v>
      </c>
      <c r="B57">
        <f t="shared" si="0"/>
        <v>-2.4364656451688331</v>
      </c>
      <c r="C57">
        <f t="shared" si="1"/>
        <v>-0.76152923986603405</v>
      </c>
      <c r="D57">
        <f t="shared" si="2"/>
        <v>-0.64813055538915954</v>
      </c>
    </row>
    <row r="58" spans="1:4" x14ac:dyDescent="0.3">
      <c r="A58">
        <v>58</v>
      </c>
      <c r="B58">
        <f t="shared" si="0"/>
        <v>-2.4238740914470305</v>
      </c>
      <c r="C58">
        <f t="shared" si="1"/>
        <v>-0.75330811643096862</v>
      </c>
      <c r="D58">
        <f t="shared" si="2"/>
        <v>-0.65766775937339839</v>
      </c>
    </row>
    <row r="59" spans="1:4" x14ac:dyDescent="0.3">
      <c r="A59">
        <v>59</v>
      </c>
      <c r="B59">
        <f t="shared" si="0"/>
        <v>-2.4112825377252278</v>
      </c>
      <c r="C59">
        <f t="shared" si="1"/>
        <v>-0.74496755966237371</v>
      </c>
      <c r="D59">
        <f t="shared" si="2"/>
        <v>-0.66710069333698618</v>
      </c>
    </row>
    <row r="60" spans="1:4" x14ac:dyDescent="0.3">
      <c r="A60">
        <v>60</v>
      </c>
      <c r="B60">
        <f t="shared" si="0"/>
        <v>-2.3986909840034247</v>
      </c>
      <c r="C60">
        <f t="shared" si="1"/>
        <v>-0.7365088919149092</v>
      </c>
      <c r="D60">
        <f t="shared" si="2"/>
        <v>-0.67642786173417824</v>
      </c>
    </row>
    <row r="61" spans="1:4" x14ac:dyDescent="0.3">
      <c r="A61">
        <v>61</v>
      </c>
      <c r="B61">
        <f t="shared" si="0"/>
        <v>-2.3860994302816221</v>
      </c>
      <c r="C61">
        <f t="shared" si="1"/>
        <v>-0.72793345426915657</v>
      </c>
      <c r="D61">
        <f t="shared" si="2"/>
        <v>-0.68564778578784435</v>
      </c>
    </row>
    <row r="62" spans="1:4" x14ac:dyDescent="0.3">
      <c r="A62">
        <v>62</v>
      </c>
      <c r="B62">
        <f t="shared" si="0"/>
        <v>-2.3735078765598194</v>
      </c>
      <c r="C62">
        <f t="shared" si="1"/>
        <v>-0.71924260631899495</v>
      </c>
      <c r="D62">
        <f t="shared" si="2"/>
        <v>-0.69475900372392385</v>
      </c>
    </row>
    <row r="63" spans="1:4" x14ac:dyDescent="0.3">
      <c r="A63">
        <v>63</v>
      </c>
      <c r="B63">
        <f t="shared" si="0"/>
        <v>-2.3609163228380163</v>
      </c>
      <c r="C63">
        <f t="shared" si="1"/>
        <v>-0.71043772595604548</v>
      </c>
      <c r="D63">
        <f t="shared" si="2"/>
        <v>-0.70376007100318139</v>
      </c>
    </row>
    <row r="64" spans="1:4" x14ac:dyDescent="0.3">
      <c r="A64">
        <v>64</v>
      </c>
      <c r="B64">
        <f t="shared" si="0"/>
        <v>-2.3483247691162137</v>
      </c>
      <c r="C64">
        <f t="shared" si="1"/>
        <v>-0.70152020915121371</v>
      </c>
      <c r="D64">
        <f t="shared" si="2"/>
        <v>-0.71264956055023099</v>
      </c>
    </row>
    <row r="65" spans="1:4" x14ac:dyDescent="0.3">
      <c r="A65">
        <v>65</v>
      </c>
      <c r="B65">
        <f t="shared" ref="B65:B128" si="3">-3.14159265358979+(A65-1)*0.0125915537218028</f>
        <v>-2.335733215394411</v>
      </c>
      <c r="C65">
        <f t="shared" ref="C65:C128" si="4">1*COS(B65)+0</f>
        <v>-0.69249146973336373</v>
      </c>
      <c r="D65">
        <f t="shared" ref="D65:D128" si="5">1*SIN(B65)+0+0*COS(B65)</f>
        <v>-0.72142606297979406</v>
      </c>
    </row>
    <row r="66" spans="1:4" x14ac:dyDescent="0.3">
      <c r="A66">
        <v>66</v>
      </c>
      <c r="B66">
        <f t="shared" si="3"/>
        <v>-2.3231416616726079</v>
      </c>
      <c r="C66">
        <f t="shared" si="4"/>
        <v>-0.68335293916516338</v>
      </c>
      <c r="D66">
        <f t="shared" si="5"/>
        <v>-0.73008818682014875</v>
      </c>
    </row>
    <row r="67" spans="1:4" x14ac:dyDescent="0.3">
      <c r="A67">
        <v>67</v>
      </c>
      <c r="B67">
        <f t="shared" si="3"/>
        <v>-2.3105501079508053</v>
      </c>
      <c r="C67">
        <f t="shared" si="4"/>
        <v>-0.67410606631613368</v>
      </c>
      <c r="D67">
        <f t="shared" si="5"/>
        <v>-0.73863455873374106</v>
      </c>
    </row>
    <row r="68" spans="1:4" x14ac:dyDescent="0.3">
      <c r="A68">
        <v>68</v>
      </c>
      <c r="B68">
        <f t="shared" si="3"/>
        <v>-2.2979585542290026</v>
      </c>
      <c r="C68">
        <f t="shared" si="4"/>
        <v>-0.66475231723293549</v>
      </c>
      <c r="D68">
        <f t="shared" si="5"/>
        <v>-0.74706382373492208</v>
      </c>
    </row>
    <row r="69" spans="1:4" x14ac:dyDescent="0.3">
      <c r="A69">
        <v>69</v>
      </c>
      <c r="B69">
        <f t="shared" si="3"/>
        <v>-2.2853670005071995</v>
      </c>
      <c r="C69">
        <f t="shared" si="4"/>
        <v>-0.65529317490693662</v>
      </c>
      <c r="D69">
        <f t="shared" si="5"/>
        <v>-0.75537464540477328</v>
      </c>
    </row>
    <row r="70" spans="1:4" x14ac:dyDescent="0.3">
      <c r="A70">
        <v>70</v>
      </c>
      <c r="B70">
        <f t="shared" si="3"/>
        <v>-2.2727754467853969</v>
      </c>
      <c r="C70">
        <f t="shared" si="4"/>
        <v>-0.64573013903909071</v>
      </c>
      <c r="D70">
        <f t="shared" si="5"/>
        <v>-0.76356570610298924</v>
      </c>
    </row>
    <row r="71" spans="1:4" x14ac:dyDescent="0.3">
      <c r="A71">
        <v>71</v>
      </c>
      <c r="B71">
        <f t="shared" si="3"/>
        <v>-2.2601838930635942</v>
      </c>
      <c r="C71">
        <f t="shared" si="4"/>
        <v>-0.63606472580216611</v>
      </c>
      <c r="D71">
        <f t="shared" si="5"/>
        <v>-0.77163570717678376</v>
      </c>
    </row>
    <row r="72" spans="1:4" x14ac:dyDescent="0.3">
      <c r="A72">
        <v>72</v>
      </c>
      <c r="B72">
        <f t="shared" si="3"/>
        <v>-2.2475923393417911</v>
      </c>
      <c r="C72">
        <f t="shared" si="4"/>
        <v>-0.62629846760036412</v>
      </c>
      <c r="D72">
        <f t="shared" si="5"/>
        <v>-0.77958336916678495</v>
      </c>
    </row>
    <row r="73" spans="1:4" x14ac:dyDescent="0.3">
      <c r="A73">
        <v>73</v>
      </c>
      <c r="B73">
        <f t="shared" si="3"/>
        <v>-2.2350007856199885</v>
      </c>
      <c r="C73">
        <f t="shared" si="4"/>
        <v>-0.61643291282636525</v>
      </c>
      <c r="D73">
        <f t="shared" si="5"/>
        <v>-0.78740743200988572</v>
      </c>
    </row>
    <row r="74" spans="1:4" x14ac:dyDescent="0.3">
      <c r="A74">
        <v>74</v>
      </c>
      <c r="B74">
        <f t="shared" si="3"/>
        <v>-2.2224092318981858</v>
      </c>
      <c r="C74">
        <f t="shared" si="4"/>
        <v>-0.60646962561583695</v>
      </c>
      <c r="D74">
        <f t="shared" si="5"/>
        <v>-0.79510665523902302</v>
      </c>
    </row>
    <row r="75" spans="1:4" x14ac:dyDescent="0.3">
      <c r="A75">
        <v>75</v>
      </c>
      <c r="B75">
        <f t="shared" si="3"/>
        <v>-2.2098176781763827</v>
      </c>
      <c r="C75">
        <f t="shared" si="4"/>
        <v>-0.59641018559944858</v>
      </c>
      <c r="D75">
        <f t="shared" si="5"/>
        <v>-0.80267981817984635</v>
      </c>
    </row>
    <row r="76" spans="1:4" x14ac:dyDescent="0.3">
      <c r="A76">
        <v>76</v>
      </c>
      <c r="B76">
        <f t="shared" si="3"/>
        <v>-2.1972261244545801</v>
      </c>
      <c r="C76">
        <f t="shared" si="4"/>
        <v>-0.58625618765242993</v>
      </c>
      <c r="D76">
        <f t="shared" si="5"/>
        <v>-0.81012572014424955</v>
      </c>
    </row>
    <row r="77" spans="1:4" x14ac:dyDescent="0.3">
      <c r="A77">
        <v>77</v>
      </c>
      <c r="B77">
        <f t="shared" si="3"/>
        <v>-2.1846345707327774</v>
      </c>
      <c r="C77">
        <f t="shared" si="4"/>
        <v>-0.57600924164170875</v>
      </c>
      <c r="D77">
        <f t="shared" si="5"/>
        <v>-0.81744318062073507</v>
      </c>
    </row>
    <row r="78" spans="1:4" x14ac:dyDescent="0.3">
      <c r="A78">
        <v>78</v>
      </c>
      <c r="B78">
        <f t="shared" si="3"/>
        <v>-2.1720430170109744</v>
      </c>
      <c r="C78">
        <f t="shared" si="4"/>
        <v>-0.56567097217067575</v>
      </c>
      <c r="D78">
        <f t="shared" si="5"/>
        <v>-0.8246310394615779</v>
      </c>
    </row>
    <row r="79" spans="1:4" x14ac:dyDescent="0.3">
      <c r="A79">
        <v>79</v>
      </c>
      <c r="B79">
        <f t="shared" si="3"/>
        <v>-2.1594514632891717</v>
      </c>
      <c r="C79">
        <f t="shared" si="4"/>
        <v>-0.55524301832161305</v>
      </c>
      <c r="D79">
        <f t="shared" si="5"/>
        <v>-0.83168815706676069</v>
      </c>
    </row>
    <row r="80" spans="1:4" x14ac:dyDescent="0.3">
      <c r="A80">
        <v>80</v>
      </c>
      <c r="B80">
        <f t="shared" si="3"/>
        <v>-2.1468599095673691</v>
      </c>
      <c r="C80">
        <f t="shared" si="4"/>
        <v>-0.54472703339582262</v>
      </c>
      <c r="D80">
        <f t="shared" si="5"/>
        <v>-0.83861341456465288</v>
      </c>
    </row>
    <row r="81" spans="1:4" x14ac:dyDescent="0.3">
      <c r="A81">
        <v>81</v>
      </c>
      <c r="B81">
        <f t="shared" si="3"/>
        <v>-2.134268355845566</v>
      </c>
      <c r="C81">
        <f t="shared" si="4"/>
        <v>-0.5341246846515052</v>
      </c>
      <c r="D81">
        <f t="shared" si="5"/>
        <v>-0.84540571398940179</v>
      </c>
    </row>
    <row r="82" spans="1:4" x14ac:dyDescent="0.3">
      <c r="A82">
        <v>82</v>
      </c>
      <c r="B82">
        <f t="shared" si="3"/>
        <v>-2.1216768021237633</v>
      </c>
      <c r="C82">
        <f t="shared" si="4"/>
        <v>-0.52343765303942535</v>
      </c>
      <c r="D82">
        <f t="shared" si="5"/>
        <v>-0.85206397845500914</v>
      </c>
    </row>
    <row r="83" spans="1:4" x14ac:dyDescent="0.3">
      <c r="A83">
        <v>83</v>
      </c>
      <c r="B83">
        <f t="shared" si="3"/>
        <v>-2.1090852484019607</v>
      </c>
      <c r="C83">
        <f t="shared" si="4"/>
        <v>-0.51266763293640294</v>
      </c>
      <c r="D83">
        <f t="shared" si="5"/>
        <v>-0.85858715232606742</v>
      </c>
    </row>
    <row r="84" spans="1:4" x14ac:dyDescent="0.3">
      <c r="A84">
        <v>84</v>
      </c>
      <c r="B84">
        <f t="shared" si="3"/>
        <v>-2.0964936946801576</v>
      </c>
      <c r="C84">
        <f t="shared" si="4"/>
        <v>-0.50181633187667907</v>
      </c>
      <c r="D84">
        <f t="shared" si="5"/>
        <v>-0.86497420138512493</v>
      </c>
    </row>
    <row r="85" spans="1:4" x14ac:dyDescent="0.3">
      <c r="A85">
        <v>85</v>
      </c>
      <c r="B85">
        <f t="shared" si="3"/>
        <v>-2.0839021409583549</v>
      </c>
      <c r="C85">
        <f t="shared" si="4"/>
        <v>-0.4908854702811955</v>
      </c>
      <c r="D85">
        <f t="shared" si="5"/>
        <v>-0.8712241129966557</v>
      </c>
    </row>
    <row r="86" spans="1:4" x14ac:dyDescent="0.3">
      <c r="A86">
        <v>86</v>
      </c>
      <c r="B86">
        <f t="shared" si="3"/>
        <v>-2.0713105872365523</v>
      </c>
      <c r="C86">
        <f t="shared" si="4"/>
        <v>-0.47987678118482874</v>
      </c>
      <c r="D86">
        <f t="shared" si="5"/>
        <v>-0.87733589626760855</v>
      </c>
    </row>
    <row r="87" spans="1:4" x14ac:dyDescent="0.3">
      <c r="A87">
        <v>87</v>
      </c>
      <c r="B87">
        <f t="shared" si="3"/>
        <v>-2.0587190335147492</v>
      </c>
      <c r="C87">
        <f t="shared" si="4"/>
        <v>-0.4687920099616264</v>
      </c>
      <c r="D87">
        <f t="shared" si="5"/>
        <v>-0.88330858220450814</v>
      </c>
    </row>
    <row r="88" spans="1:4" x14ac:dyDescent="0.3">
      <c r="A88">
        <v>88</v>
      </c>
      <c r="B88">
        <f t="shared" si="3"/>
        <v>-2.0461274797929465</v>
      </c>
      <c r="C88">
        <f t="shared" si="4"/>
        <v>-0.45763291404808787</v>
      </c>
      <c r="D88">
        <f t="shared" si="5"/>
        <v>-0.88914122386708372</v>
      </c>
    </row>
    <row r="89" spans="1:4" x14ac:dyDescent="0.3">
      <c r="A89">
        <v>89</v>
      </c>
      <c r="B89">
        <f t="shared" si="3"/>
        <v>-2.0335359260711439</v>
      </c>
      <c r="C89">
        <f t="shared" si="4"/>
        <v>-0.44640126266452929</v>
      </c>
      <c r="D89">
        <f t="shared" si="5"/>
        <v>-0.89483289651840248</v>
      </c>
    </row>
    <row r="90" spans="1:4" x14ac:dyDescent="0.3">
      <c r="A90">
        <v>90</v>
      </c>
      <c r="B90">
        <f t="shared" si="3"/>
        <v>-2.0209443723493408</v>
      </c>
      <c r="C90">
        <f t="shared" si="4"/>
        <v>-0.43509883653458314</v>
      </c>
      <c r="D90">
        <f t="shared" si="5"/>
        <v>-0.90038269777148217</v>
      </c>
    </row>
    <row r="91" spans="1:4" x14ac:dyDescent="0.3">
      <c r="A91">
        <v>91</v>
      </c>
      <c r="B91">
        <f t="shared" si="3"/>
        <v>-2.0083528186275381</v>
      </c>
      <c r="C91">
        <f t="shared" si="4"/>
        <v>-0.42372742760287452</v>
      </c>
      <c r="D91">
        <f t="shared" si="5"/>
        <v>-0.9057897477323591</v>
      </c>
    </row>
    <row r="92" spans="1:4" x14ac:dyDescent="0.3">
      <c r="A92">
        <v>92</v>
      </c>
      <c r="B92">
        <f t="shared" si="3"/>
        <v>-1.9957612649057352</v>
      </c>
      <c r="C92">
        <f t="shared" si="4"/>
        <v>-0.41228883875091432</v>
      </c>
      <c r="D92">
        <f t="shared" si="5"/>
        <v>-0.91105318913959277</v>
      </c>
    </row>
    <row r="93" spans="1:4" x14ac:dyDescent="0.3">
      <c r="A93">
        <v>93</v>
      </c>
      <c r="B93">
        <f t="shared" si="3"/>
        <v>-1.9831697111839324</v>
      </c>
      <c r="C93">
        <f t="shared" si="4"/>
        <v>-0.40078488351126368</v>
      </c>
      <c r="D93">
        <f t="shared" si="5"/>
        <v>-0.91617218750017881</v>
      </c>
    </row>
    <row r="94" spans="1:4" x14ac:dyDescent="0.3">
      <c r="A94">
        <v>94</v>
      </c>
      <c r="B94">
        <f t="shared" si="3"/>
        <v>-1.9705781574621297</v>
      </c>
      <c r="C94">
        <f t="shared" si="4"/>
        <v>-0.38921738578000598</v>
      </c>
      <c r="D94">
        <f t="shared" si="5"/>
        <v>-0.92114593122185473</v>
      </c>
    </row>
    <row r="95" spans="1:4" x14ac:dyDescent="0.3">
      <c r="A95">
        <v>95</v>
      </c>
      <c r="B95">
        <f t="shared" si="3"/>
        <v>-1.9579866037403268</v>
      </c>
      <c r="C95">
        <f t="shared" si="4"/>
        <v>-0.37758817952757667</v>
      </c>
      <c r="D95">
        <f t="shared" si="5"/>
        <v>-0.92597363174177405</v>
      </c>
    </row>
    <row r="96" spans="1:4" x14ac:dyDescent="0.3">
      <c r="A96">
        <v>96</v>
      </c>
      <c r="B96">
        <f t="shared" si="3"/>
        <v>-1.945395050018524</v>
      </c>
      <c r="C96">
        <f t="shared" si="4"/>
        <v>-0.36589910850799745</v>
      </c>
      <c r="D96">
        <f t="shared" si="5"/>
        <v>-0.93065452365152812</v>
      </c>
    </row>
    <row r="97" spans="1:4" x14ac:dyDescent="0.3">
      <c r="A97">
        <v>97</v>
      </c>
      <c r="B97">
        <f t="shared" si="3"/>
        <v>-1.9328034962967213</v>
      </c>
      <c r="C97">
        <f t="shared" si="4"/>
        <v>-0.3541520259665572</v>
      </c>
      <c r="D97">
        <f t="shared" si="5"/>
        <v>-0.93518786481849892</v>
      </c>
    </row>
    <row r="98" spans="1:4" x14ac:dyDescent="0.3">
      <c r="A98">
        <v>98</v>
      </c>
      <c r="B98">
        <f t="shared" si="3"/>
        <v>-1.9202119425749185</v>
      </c>
      <c r="C98">
        <f t="shared" si="4"/>
        <v>-0.34234879434598847</v>
      </c>
      <c r="D98">
        <f t="shared" si="5"/>
        <v>-0.93957293650352025</v>
      </c>
    </row>
    <row r="99" spans="1:4" x14ac:dyDescent="0.3">
      <c r="A99">
        <v>99</v>
      </c>
      <c r="B99">
        <f t="shared" si="3"/>
        <v>-1.9076203888531156</v>
      </c>
      <c r="C99">
        <f t="shared" si="4"/>
        <v>-0.33049128499118763</v>
      </c>
      <c r="D99">
        <f t="shared" si="5"/>
        <v>-0.94380904347483008</v>
      </c>
    </row>
    <row r="100" spans="1:4" x14ac:dyDescent="0.3">
      <c r="A100">
        <v>100</v>
      </c>
      <c r="B100">
        <f t="shared" si="3"/>
        <v>-1.8950288351313127</v>
      </c>
      <c r="C100">
        <f t="shared" si="4"/>
        <v>-0.31858137785252122</v>
      </c>
      <c r="D100">
        <f t="shared" si="5"/>
        <v>-0.9478955141182962</v>
      </c>
    </row>
    <row r="101" spans="1:4" x14ac:dyDescent="0.3">
      <c r="A101">
        <v>101</v>
      </c>
      <c r="B101">
        <f t="shared" si="3"/>
        <v>-1.8824372814095101</v>
      </c>
      <c r="C101">
        <f t="shared" si="4"/>
        <v>-0.30662096118776938</v>
      </c>
      <c r="D101">
        <f t="shared" si="5"/>
        <v>-0.95183170054389787</v>
      </c>
    </row>
    <row r="102" spans="1:4" x14ac:dyDescent="0.3">
      <c r="A102">
        <v>102</v>
      </c>
      <c r="B102">
        <f t="shared" si="3"/>
        <v>-1.8698457276877072</v>
      </c>
      <c r="C102">
        <f t="shared" si="4"/>
        <v>-0.2946119312627512</v>
      </c>
      <c r="D102">
        <f t="shared" si="5"/>
        <v>-0.95561697868844497</v>
      </c>
    </row>
    <row r="103" spans="1:4" x14ac:dyDescent="0.3">
      <c r="A103">
        <v>103</v>
      </c>
      <c r="B103">
        <f t="shared" si="3"/>
        <v>-1.8572541739659043</v>
      </c>
      <c r="C103">
        <f t="shared" si="4"/>
        <v>-0.28255619205068194</v>
      </c>
      <c r="D103">
        <f t="shared" si="5"/>
        <v>-0.95925074841452074</v>
      </c>
    </row>
    <row r="104" spans="1:4" x14ac:dyDescent="0.3">
      <c r="A104">
        <v>104</v>
      </c>
      <c r="B104">
        <f t="shared" si="3"/>
        <v>-1.8446626202441017</v>
      </c>
      <c r="C104">
        <f t="shared" si="4"/>
        <v>-0.27045565493030693</v>
      </c>
      <c r="D104">
        <f t="shared" si="5"/>
        <v>-0.96273243360562999</v>
      </c>
    </row>
    <row r="105" spans="1:4" x14ac:dyDescent="0.3">
      <c r="A105">
        <v>105</v>
      </c>
      <c r="B105">
        <f t="shared" si="3"/>
        <v>-1.8320710665222988</v>
      </c>
      <c r="C105">
        <f t="shared" si="4"/>
        <v>-0.25831223838286105</v>
      </c>
      <c r="D105">
        <f t="shared" si="5"/>
        <v>-0.9660614822575404</v>
      </c>
    </row>
    <row r="106" spans="1:4" x14ac:dyDescent="0.3">
      <c r="A106">
        <v>106</v>
      </c>
      <c r="B106">
        <f t="shared" si="3"/>
        <v>-1.8194795128004959</v>
      </c>
      <c r="C106">
        <f t="shared" si="4"/>
        <v>-0.24612786768790421</v>
      </c>
      <c r="D106">
        <f t="shared" si="5"/>
        <v>-0.96923736656579929</v>
      </c>
    </row>
    <row r="107" spans="1:4" x14ac:dyDescent="0.3">
      <c r="A107">
        <v>107</v>
      </c>
      <c r="B107">
        <f t="shared" si="3"/>
        <v>-1.8068879590786933</v>
      </c>
      <c r="C107">
        <f t="shared" si="4"/>
        <v>-0.2339044746180769</v>
      </c>
      <c r="D107">
        <f t="shared" si="5"/>
        <v>-0.97225958300941495</v>
      </c>
    </row>
    <row r="108" spans="1:4" x14ac:dyDescent="0.3">
      <c r="A108">
        <v>108</v>
      </c>
      <c r="B108">
        <f t="shared" si="3"/>
        <v>-1.7942964053568904</v>
      </c>
      <c r="C108">
        <f t="shared" si="4"/>
        <v>-0.22164399713282656</v>
      </c>
      <c r="D108">
        <f t="shared" si="5"/>
        <v>-0.97512765243068744</v>
      </c>
    </row>
    <row r="109" spans="1:4" x14ac:dyDescent="0.3">
      <c r="A109">
        <v>109</v>
      </c>
      <c r="B109">
        <f t="shared" si="3"/>
        <v>-1.7817048516350875</v>
      </c>
      <c r="C109">
        <f t="shared" si="4"/>
        <v>-0.20934837907115472</v>
      </c>
      <c r="D109">
        <f t="shared" si="5"/>
        <v>-0.97784112011117641</v>
      </c>
    </row>
    <row r="110" spans="1:4" x14ac:dyDescent="0.3">
      <c r="A110">
        <v>110</v>
      </c>
      <c r="B110">
        <f t="shared" si="3"/>
        <v>-1.7691132979132849</v>
      </c>
      <c r="C110">
        <f t="shared" si="4"/>
        <v>-0.19701956984343019</v>
      </c>
      <c r="D110">
        <f t="shared" si="5"/>
        <v>-0.98039955584379457</v>
      </c>
    </row>
    <row r="111" spans="1:4" x14ac:dyDescent="0.3">
      <c r="A111">
        <v>111</v>
      </c>
      <c r="B111">
        <f t="shared" si="3"/>
        <v>-1.756521744191482</v>
      </c>
      <c r="C111">
        <f t="shared" si="4"/>
        <v>-0.18465952412231887</v>
      </c>
      <c r="D111">
        <f t="shared" si="5"/>
        <v>-0.98280255400101535</v>
      </c>
    </row>
    <row r="112" spans="1:4" x14ac:dyDescent="0.3">
      <c r="A112">
        <v>112</v>
      </c>
      <c r="B112">
        <f t="shared" si="3"/>
        <v>-1.7439301904696791</v>
      </c>
      <c r="C112">
        <f t="shared" si="4"/>
        <v>-0.17227020153288122</v>
      </c>
      <c r="D112">
        <f t="shared" si="5"/>
        <v>-0.98504973359918258</v>
      </c>
    </row>
    <row r="113" spans="1:4" x14ac:dyDescent="0.3">
      <c r="A113">
        <v>113</v>
      </c>
      <c r="B113">
        <f t="shared" si="3"/>
        <v>-1.7313386367478765</v>
      </c>
      <c r="C113">
        <f t="shared" si="4"/>
        <v>-0.15985356634188264</v>
      </c>
      <c r="D113">
        <f t="shared" si="5"/>
        <v>-0.98714073835891369</v>
      </c>
    </row>
    <row r="114" spans="1:4" x14ac:dyDescent="0.3">
      <c r="A114">
        <v>114</v>
      </c>
      <c r="B114">
        <f t="shared" si="3"/>
        <v>-1.7187470830260736</v>
      </c>
      <c r="C114">
        <f t="shared" si="4"/>
        <v>-0.14741158714636779</v>
      </c>
      <c r="D114">
        <f t="shared" si="5"/>
        <v>-0.98907523676158671</v>
      </c>
    </row>
    <row r="115" spans="1:4" x14ac:dyDescent="0.3">
      <c r="A115">
        <v>115</v>
      </c>
      <c r="B115">
        <f t="shared" si="3"/>
        <v>-1.7061555293042707</v>
      </c>
      <c r="C115">
        <f t="shared" si="4"/>
        <v>-0.13494623656155053</v>
      </c>
      <c r="D115">
        <f t="shared" si="5"/>
        <v>-0.99085292210190001</v>
      </c>
    </row>
    <row r="116" spans="1:4" x14ac:dyDescent="0.3">
      <c r="A116">
        <v>116</v>
      </c>
      <c r="B116">
        <f t="shared" si="3"/>
        <v>-1.6935639755824681</v>
      </c>
      <c r="C116">
        <f t="shared" si="4"/>
        <v>-0.1224594909080647</v>
      </c>
      <c r="D116">
        <f t="shared" si="5"/>
        <v>-0.99247351253649974</v>
      </c>
    </row>
    <row r="117" spans="1:4" x14ac:dyDescent="0.3">
      <c r="A117">
        <v>117</v>
      </c>
      <c r="B117">
        <f t="shared" si="3"/>
        <v>-1.6809724218606652</v>
      </c>
      <c r="C117">
        <f t="shared" si="4"/>
        <v>-0.1099533298986274</v>
      </c>
      <c r="D117">
        <f t="shared" si="5"/>
        <v>-0.99393675112866398</v>
      </c>
    </row>
    <row r="118" spans="1:4" x14ac:dyDescent="0.3">
      <c r="A118">
        <v>118</v>
      </c>
      <c r="B118">
        <f t="shared" si="3"/>
        <v>-1.6683808681388623</v>
      </c>
      <c r="C118">
        <f t="shared" si="4"/>
        <v>-9.7429736324166516E-2</v>
      </c>
      <c r="D118">
        <f t="shared" si="5"/>
        <v>-0.99524240588903934</v>
      </c>
    </row>
    <row r="119" spans="1:4" x14ac:dyDescent="0.3">
      <c r="A119">
        <v>119</v>
      </c>
      <c r="B119">
        <f t="shared" si="3"/>
        <v>-1.6557893144170597</v>
      </c>
      <c r="C119">
        <f t="shared" si="4"/>
        <v>-8.4890695739458288E-2</v>
      </c>
      <c r="D119">
        <f t="shared" si="5"/>
        <v>-0.99639026981242185</v>
      </c>
    </row>
    <row r="120" spans="1:4" x14ac:dyDescent="0.3">
      <c r="A120">
        <v>120</v>
      </c>
      <c r="B120">
        <f t="shared" si="3"/>
        <v>-1.6431977606952568</v>
      </c>
      <c r="C120">
        <f t="shared" si="4"/>
        <v>-7.2338196148326483E-2</v>
      </c>
      <c r="D120">
        <f t="shared" si="5"/>
        <v>-0.99738016091057591</v>
      </c>
    </row>
    <row r="121" spans="1:4" x14ac:dyDescent="0.3">
      <c r="A121">
        <v>121</v>
      </c>
      <c r="B121">
        <f t="shared" si="3"/>
        <v>-1.6306062069734539</v>
      </c>
      <c r="C121">
        <f t="shared" si="4"/>
        <v>-5.9774227688455507E-2</v>
      </c>
      <c r="D121">
        <f t="shared" si="5"/>
        <v>-0.99821192224108835</v>
      </c>
    </row>
    <row r="122" spans="1:4" x14ac:dyDescent="0.3">
      <c r="A122">
        <v>122</v>
      </c>
      <c r="B122">
        <f t="shared" si="3"/>
        <v>-1.6180146532516513</v>
      </c>
      <c r="C122">
        <f t="shared" si="4"/>
        <v>-4.720078231586302E-2</v>
      </c>
      <c r="D122">
        <f t="shared" si="5"/>
        <v>-0.99888542193225072</v>
      </c>
    </row>
    <row r="123" spans="1:4" x14ac:dyDescent="0.3">
      <c r="A123">
        <v>123</v>
      </c>
      <c r="B123">
        <f t="shared" si="3"/>
        <v>-1.6054230995298484</v>
      </c>
      <c r="C123">
        <f t="shared" si="4"/>
        <v>-3.4619853489084404E-2</v>
      </c>
      <c r="D123">
        <f t="shared" si="5"/>
        <v>-0.99940055320396648</v>
      </c>
    </row>
    <row r="124" spans="1:4" x14ac:dyDescent="0.3">
      <c r="A124">
        <v>124</v>
      </c>
      <c r="B124">
        <f t="shared" si="3"/>
        <v>-1.5928315458080455</v>
      </c>
      <c r="C124">
        <f t="shared" si="4"/>
        <v>-2.2033435853120915E-2</v>
      </c>
      <c r="D124">
        <f t="shared" si="5"/>
        <v>-0.99975723438468123</v>
      </c>
    </row>
    <row r="125" spans="1:4" x14ac:dyDescent="0.3">
      <c r="A125">
        <v>125</v>
      </c>
      <c r="B125">
        <f t="shared" si="3"/>
        <v>-1.5802399920862429</v>
      </c>
      <c r="C125">
        <f t="shared" si="4"/>
        <v>-9.4435249231977821E-3</v>
      </c>
      <c r="D125">
        <f t="shared" si="5"/>
        <v>-0.99995540892433044</v>
      </c>
    </row>
    <row r="126" spans="1:4" x14ac:dyDescent="0.3">
      <c r="A126">
        <v>126</v>
      </c>
      <c r="B126">
        <f t="shared" si="3"/>
        <v>-1.56764843836444</v>
      </c>
      <c r="C126">
        <f t="shared" si="4"/>
        <v>3.1478832316156873E-3</v>
      </c>
      <c r="D126">
        <f t="shared" si="5"/>
        <v>-0.99999504540330608</v>
      </c>
    </row>
    <row r="127" spans="1:4" x14ac:dyDescent="0.3">
      <c r="A127">
        <v>127</v>
      </c>
      <c r="B127">
        <f t="shared" si="3"/>
        <v>-1.5550568846426371</v>
      </c>
      <c r="C127">
        <f t="shared" si="4"/>
        <v>1.5738792304871806E-2</v>
      </c>
      <c r="D127">
        <f t="shared" si="5"/>
        <v>-0.9998761375374372</v>
      </c>
    </row>
    <row r="128" spans="1:4" x14ac:dyDescent="0.3">
      <c r="A128">
        <v>128</v>
      </c>
      <c r="B128">
        <f t="shared" si="3"/>
        <v>-1.5424653309208345</v>
      </c>
      <c r="C128">
        <f t="shared" si="4"/>
        <v>2.8327206069249836E-2</v>
      </c>
      <c r="D128">
        <f t="shared" si="5"/>
        <v>-0.99959870417898711</v>
      </c>
    </row>
    <row r="129" spans="1:4" x14ac:dyDescent="0.3">
      <c r="A129">
        <v>129</v>
      </c>
      <c r="B129">
        <f t="shared" ref="B129:B192" si="6">-3.14159265358979+(A129-1)*0.0125915537218028</f>
        <v>-1.5298737771990316</v>
      </c>
      <c r="C129">
        <f t="shared" ref="C129:C192" si="7">1*COS(B129)+0</f>
        <v>4.0911128693048776E-2</v>
      </c>
      <c r="D129">
        <f t="shared" ref="D129:D192" si="8">1*SIN(B129)+0+0*COS(B129)</f>
        <v>-0.99916278931366376</v>
      </c>
    </row>
    <row r="130" spans="1:4" x14ac:dyDescent="0.3">
      <c r="A130">
        <v>130</v>
      </c>
      <c r="B130">
        <f t="shared" si="6"/>
        <v>-1.5172822234772287</v>
      </c>
      <c r="C130">
        <f t="shared" si="7"/>
        <v>5.3488565056615429E-2</v>
      </c>
      <c r="D130">
        <f t="shared" si="8"/>
        <v>-0.99856846205364613</v>
      </c>
    </row>
    <row r="131" spans="1:4" x14ac:dyDescent="0.3">
      <c r="A131">
        <v>131</v>
      </c>
      <c r="B131">
        <f t="shared" si="6"/>
        <v>-1.5046906697554261</v>
      </c>
      <c r="C131">
        <f t="shared" si="7"/>
        <v>6.605752106866157E-2</v>
      </c>
      <c r="D131">
        <f t="shared" si="8"/>
        <v>-0.99781581662662744</v>
      </c>
    </row>
    <row r="132" spans="1:4" x14ac:dyDescent="0.3">
      <c r="A132">
        <v>132</v>
      </c>
      <c r="B132">
        <f t="shared" si="6"/>
        <v>-1.4920991160336232</v>
      </c>
      <c r="C132">
        <f t="shared" si="7"/>
        <v>7.8616003982418081E-2</v>
      </c>
      <c r="D132">
        <f t="shared" si="8"/>
        <v>-0.99690497236087472</v>
      </c>
    </row>
    <row r="133" spans="1:4" x14ac:dyDescent="0.3">
      <c r="A133">
        <v>133</v>
      </c>
      <c r="B133">
        <f t="shared" si="6"/>
        <v>-1.4795075623118203</v>
      </c>
      <c r="C133">
        <f t="shared" si="7"/>
        <v>9.1162022711573906E-2</v>
      </c>
      <c r="D133">
        <f t="shared" si="8"/>
        <v>-0.99583607366631099</v>
      </c>
    </row>
    <row r="134" spans="1:4" x14ac:dyDescent="0.3">
      <c r="A134">
        <v>134</v>
      </c>
      <c r="B134">
        <f t="shared" si="6"/>
        <v>-1.4669160085900177</v>
      </c>
      <c r="C134">
        <f t="shared" si="7"/>
        <v>0.10369358814595377</v>
      </c>
      <c r="D134">
        <f t="shared" si="8"/>
        <v>-0.99460929001161924</v>
      </c>
    </row>
    <row r="135" spans="1:4" x14ac:dyDescent="0.3">
      <c r="A135">
        <v>135</v>
      </c>
      <c r="B135">
        <f t="shared" si="6"/>
        <v>-1.4543244548682148</v>
      </c>
      <c r="C135">
        <f t="shared" si="7"/>
        <v>0.11620871346688255</v>
      </c>
      <c r="D135">
        <f t="shared" si="8"/>
        <v>-0.99322481589737377</v>
      </c>
    </row>
    <row r="136" spans="1:4" x14ac:dyDescent="0.3">
      <c r="A136">
        <v>136</v>
      </c>
      <c r="B136">
        <f t="shared" si="6"/>
        <v>-1.4417329011464119</v>
      </c>
      <c r="C136">
        <f t="shared" si="7"/>
        <v>0.12870541446218442</v>
      </c>
      <c r="D136">
        <f t="shared" si="8"/>
        <v>-0.99168287082520357</v>
      </c>
    </row>
    <row r="137" spans="1:4" x14ac:dyDescent="0.3">
      <c r="A137">
        <v>137</v>
      </c>
      <c r="B137">
        <f t="shared" si="6"/>
        <v>-1.4291413474246093</v>
      </c>
      <c r="C137">
        <f t="shared" si="7"/>
        <v>0.14118170984077064</v>
      </c>
      <c r="D137">
        <f t="shared" si="8"/>
        <v>-0.98998369926299112</v>
      </c>
    </row>
    <row r="138" spans="1:4" x14ac:dyDescent="0.3">
      <c r="A138">
        <v>138</v>
      </c>
      <c r="B138">
        <f t="shared" si="6"/>
        <v>-1.4165497937028064</v>
      </c>
      <c r="C138">
        <f t="shared" si="7"/>
        <v>0.1536356215467643</v>
      </c>
      <c r="D138">
        <f t="shared" si="8"/>
        <v>-0.98812757060611334</v>
      </c>
    </row>
    <row r="139" spans="1:4" x14ac:dyDescent="0.3">
      <c r="A139">
        <v>139</v>
      </c>
      <c r="B139">
        <f t="shared" si="6"/>
        <v>-1.4039582399810036</v>
      </c>
      <c r="C139">
        <f t="shared" si="7"/>
        <v>0.16606517507311008</v>
      </c>
      <c r="D139">
        <f t="shared" si="8"/>
        <v>-0.98611477913473</v>
      </c>
    </row>
    <row r="140" spans="1:4" x14ac:dyDescent="0.3">
      <c r="A140">
        <v>140</v>
      </c>
      <c r="B140">
        <f t="shared" si="6"/>
        <v>-1.3913666862592009</v>
      </c>
      <c r="C140">
        <f t="shared" si="7"/>
        <v>0.17846839977462353</v>
      </c>
      <c r="D140">
        <f t="shared" si="8"/>
        <v>-0.98394564396712747</v>
      </c>
    </row>
    <row r="141" spans="1:4" x14ac:dyDescent="0.3">
      <c r="A141">
        <v>141</v>
      </c>
      <c r="B141">
        <f t="shared" si="6"/>
        <v>-1.378775132537398</v>
      </c>
      <c r="C141">
        <f t="shared" si="7"/>
        <v>0.19084332918042771</v>
      </c>
      <c r="D141">
        <f t="shared" si="8"/>
        <v>-0.98162050900912357</v>
      </c>
    </row>
    <row r="142" spans="1:4" x14ac:dyDescent="0.3">
      <c r="A142">
        <v>142</v>
      </c>
      <c r="B142">
        <f t="shared" si="6"/>
        <v>-1.3661835788155952</v>
      </c>
      <c r="C142">
        <f t="shared" si="7"/>
        <v>0.20318800130572645</v>
      </c>
      <c r="D142">
        <f t="shared" si="8"/>
        <v>-0.97913974289954353</v>
      </c>
    </row>
    <row r="143" spans="1:4" x14ac:dyDescent="0.3">
      <c r="A143">
        <v>143</v>
      </c>
      <c r="B143">
        <f t="shared" si="6"/>
        <v>-1.3535920250937925</v>
      </c>
      <c r="C143">
        <f t="shared" si="7"/>
        <v>0.21550045896286801</v>
      </c>
      <c r="D143">
        <f t="shared" si="8"/>
        <v>-0.97650373895177345</v>
      </c>
    </row>
    <row r="144" spans="1:4" x14ac:dyDescent="0.3">
      <c r="A144">
        <v>144</v>
      </c>
      <c r="B144">
        <f t="shared" si="6"/>
        <v>-1.3410004713719896</v>
      </c>
      <c r="C144">
        <f t="shared" si="7"/>
        <v>0.22777875007164838</v>
      </c>
      <c r="D144">
        <f t="shared" si="8"/>
        <v>-0.9737129150914029</v>
      </c>
    </row>
    <row r="145" spans="1:4" x14ac:dyDescent="0.3">
      <c r="A145">
        <v>145</v>
      </c>
      <c r="B145">
        <f t="shared" si="6"/>
        <v>-1.3284089176501868</v>
      </c>
      <c r="C145">
        <f t="shared" si="7"/>
        <v>0.24002092796880276</v>
      </c>
      <c r="D145">
        <f t="shared" si="8"/>
        <v>-0.97076771378996474</v>
      </c>
    </row>
    <row r="146" spans="1:4" x14ac:dyDescent="0.3">
      <c r="A146">
        <v>146</v>
      </c>
      <c r="B146">
        <f t="shared" si="6"/>
        <v>-1.3158173639283841</v>
      </c>
      <c r="C146">
        <f t="shared" si="7"/>
        <v>0.25222505171664023</v>
      </c>
      <c r="D146">
        <f t="shared" si="8"/>
        <v>-0.96766860199478322</v>
      </c>
    </row>
    <row r="147" spans="1:4" x14ac:dyDescent="0.3">
      <c r="A147">
        <v>147</v>
      </c>
      <c r="B147">
        <f t="shared" si="6"/>
        <v>-1.3032258102065812</v>
      </c>
      <c r="C147">
        <f t="shared" si="7"/>
        <v>0.26438918641077053</v>
      </c>
      <c r="D147">
        <f t="shared" si="8"/>
        <v>-0.96441607105494198</v>
      </c>
    </row>
    <row r="148" spans="1:4" x14ac:dyDescent="0.3">
      <c r="A148">
        <v>148</v>
      </c>
      <c r="B148">
        <f t="shared" si="6"/>
        <v>-1.2906342564847784</v>
      </c>
      <c r="C148">
        <f t="shared" si="7"/>
        <v>0.27651140348687248</v>
      </c>
      <c r="D148">
        <f t="shared" si="8"/>
        <v>-0.96101063664338282</v>
      </c>
    </row>
    <row r="149" spans="1:4" x14ac:dyDescent="0.3">
      <c r="A149">
        <v>149</v>
      </c>
      <c r="B149">
        <f t="shared" si="6"/>
        <v>-1.2780427027629757</v>
      </c>
      <c r="C149">
        <f t="shared" si="7"/>
        <v>0.28858978102645916</v>
      </c>
      <c r="D149">
        <f t="shared" si="8"/>
        <v>-0.95745283867514874</v>
      </c>
    </row>
    <row r="150" spans="1:4" x14ac:dyDescent="0.3">
      <c r="A150">
        <v>150</v>
      </c>
      <c r="B150">
        <f t="shared" si="6"/>
        <v>-1.2654511490411728</v>
      </c>
      <c r="C150">
        <f t="shared" si="7"/>
        <v>0.3006224040615893</v>
      </c>
      <c r="D150">
        <f t="shared" si="8"/>
        <v>-0.95374324122178211</v>
      </c>
    </row>
    <row r="151" spans="1:4" x14ac:dyDescent="0.3">
      <c r="A151">
        <v>151</v>
      </c>
      <c r="B151">
        <f t="shared" si="6"/>
        <v>-1.25285959531937</v>
      </c>
      <c r="C151">
        <f t="shared" si="7"/>
        <v>0.3126073648784749</v>
      </c>
      <c r="D151">
        <f t="shared" si="8"/>
        <v>-0.94988243242189507</v>
      </c>
    </row>
    <row r="152" spans="1:4" x14ac:dyDescent="0.3">
      <c r="A152">
        <v>152</v>
      </c>
      <c r="B152">
        <f t="shared" si="6"/>
        <v>-1.2402680415975673</v>
      </c>
      <c r="C152">
        <f t="shared" si="7"/>
        <v>0.32454276331994053</v>
      </c>
      <c r="D152">
        <f t="shared" si="8"/>
        <v>-0.94587102438792203</v>
      </c>
    </row>
    <row r="153" spans="1:4" x14ac:dyDescent="0.3">
      <c r="A153">
        <v>153</v>
      </c>
      <c r="B153">
        <f t="shared" si="6"/>
        <v>-1.2276764878757644</v>
      </c>
      <c r="C153">
        <f t="shared" si="7"/>
        <v>0.33642670708668465</v>
      </c>
      <c r="D153">
        <f t="shared" si="8"/>
        <v>-0.94170965310907273</v>
      </c>
    </row>
    <row r="154" spans="1:4" x14ac:dyDescent="0.3">
      <c r="A154">
        <v>154</v>
      </c>
      <c r="B154">
        <f t="shared" si="6"/>
        <v>-1.2150849341539616</v>
      </c>
      <c r="C154">
        <f t="shared" si="7"/>
        <v>0.34825731203729327</v>
      </c>
      <c r="D154">
        <f t="shared" si="8"/>
        <v>-0.93739897835049901</v>
      </c>
    </row>
    <row r="155" spans="1:4" x14ac:dyDescent="0.3">
      <c r="A155">
        <v>155</v>
      </c>
      <c r="B155">
        <f t="shared" si="6"/>
        <v>-1.2024933804321589</v>
      </c>
      <c r="C155">
        <f t="shared" si="7"/>
        <v>0.36003270248696184</v>
      </c>
      <c r="D155">
        <f t="shared" si="8"/>
        <v>-0.93293968354869272</v>
      </c>
    </row>
    <row r="156" spans="1:4" x14ac:dyDescent="0.3">
      <c r="A156">
        <v>156</v>
      </c>
      <c r="B156">
        <f t="shared" si="6"/>
        <v>-1.189901826710356</v>
      </c>
      <c r="C156">
        <f t="shared" si="7"/>
        <v>0.37175101150487677</v>
      </c>
      <c r="D156">
        <f t="shared" si="8"/>
        <v>-0.92833247570312916</v>
      </c>
    </row>
    <row r="157" spans="1:4" x14ac:dyDescent="0.3">
      <c r="A157">
        <v>157</v>
      </c>
      <c r="B157">
        <f t="shared" si="6"/>
        <v>-1.1773102729885532</v>
      </c>
      <c r="C157">
        <f t="shared" si="7"/>
        <v>0.38341038121020693</v>
      </c>
      <c r="D157">
        <f t="shared" si="8"/>
        <v>-0.92357808526417717</v>
      </c>
    </row>
    <row r="158" spans="1:4" x14ac:dyDescent="0.3">
      <c r="A158">
        <v>158</v>
      </c>
      <c r="B158">
        <f t="shared" si="6"/>
        <v>-1.1647187192667505</v>
      </c>
      <c r="C158">
        <f t="shared" si="7"/>
        <v>0.39500896306666211</v>
      </c>
      <c r="D158">
        <f t="shared" si="8"/>
        <v>-0.91867726601728883</v>
      </c>
    </row>
    <row r="159" spans="1:4" x14ac:dyDescent="0.3">
      <c r="A159">
        <v>159</v>
      </c>
      <c r="B159">
        <f t="shared" si="6"/>
        <v>-1.1521271655449477</v>
      </c>
      <c r="C159">
        <f t="shared" si="7"/>
        <v>0.40654491817557015</v>
      </c>
      <c r="D159">
        <f t="shared" si="8"/>
        <v>-0.9136307949634902</v>
      </c>
    </row>
    <row r="160" spans="1:4" x14ac:dyDescent="0.3">
      <c r="A160">
        <v>160</v>
      </c>
      <c r="B160">
        <f t="shared" si="6"/>
        <v>-1.139535611823145</v>
      </c>
      <c r="C160">
        <f t="shared" si="7"/>
        <v>0.41801641756742391</v>
      </c>
      <c r="D160">
        <f t="shared" si="8"/>
        <v>-0.9084394721961927</v>
      </c>
    </row>
    <row r="161" spans="1:4" x14ac:dyDescent="0.3">
      <c r="A161">
        <v>161</v>
      </c>
      <c r="B161">
        <f t="shared" si="6"/>
        <v>-1.1269440581013419</v>
      </c>
      <c r="C161">
        <f t="shared" si="7"/>
        <v>0.42942164249185744</v>
      </c>
      <c r="D161">
        <f t="shared" si="8"/>
        <v>-0.90310412077434099</v>
      </c>
    </row>
    <row r="162" spans="1:4" x14ac:dyDescent="0.3">
      <c r="A162">
        <v>162</v>
      </c>
      <c r="B162">
        <f t="shared" si="6"/>
        <v>-1.1143525043795393</v>
      </c>
      <c r="C162">
        <f t="shared" si="7"/>
        <v>0.44075878470599728</v>
      </c>
      <c r="D162">
        <f t="shared" si="8"/>
        <v>-0.89762558659192215</v>
      </c>
    </row>
    <row r="163" spans="1:4" x14ac:dyDescent="0.3">
      <c r="A163">
        <v>163</v>
      </c>
      <c r="B163">
        <f t="shared" si="6"/>
        <v>-1.1017609506577366</v>
      </c>
      <c r="C163">
        <f t="shared" si="7"/>
        <v>0.45202604676115354</v>
      </c>
      <c r="D163">
        <f t="shared" si="8"/>
        <v>-0.89200473824385229</v>
      </c>
    </row>
    <row r="164" spans="1:4" x14ac:dyDescent="0.3">
      <c r="A164">
        <v>164</v>
      </c>
      <c r="B164">
        <f t="shared" si="6"/>
        <v>-1.0891693969359335</v>
      </c>
      <c r="C164">
        <f t="shared" si="7"/>
        <v>0.46322164228779505</v>
      </c>
      <c r="D164">
        <f t="shared" si="8"/>
        <v>-0.88624246688826536</v>
      </c>
    </row>
    <row r="165" spans="1:4" x14ac:dyDescent="0.3">
      <c r="A165">
        <v>165</v>
      </c>
      <c r="B165">
        <f t="shared" si="6"/>
        <v>-1.0765778432141309</v>
      </c>
      <c r="C165">
        <f t="shared" si="7"/>
        <v>0.47434379627876877</v>
      </c>
      <c r="D165">
        <f t="shared" si="8"/>
        <v>-0.88033968610522495</v>
      </c>
    </row>
    <row r="166" spans="1:4" x14ac:dyDescent="0.3">
      <c r="A166">
        <v>166</v>
      </c>
      <c r="B166">
        <f t="shared" si="6"/>
        <v>-1.0639862894923282</v>
      </c>
      <c r="C166">
        <f t="shared" si="7"/>
        <v>0.48539074537072052</v>
      </c>
      <c r="D166">
        <f t="shared" si="8"/>
        <v>-0.87429733175187974</v>
      </c>
    </row>
    <row r="167" spans="1:4" x14ac:dyDescent="0.3">
      <c r="A167">
        <v>167</v>
      </c>
      <c r="B167">
        <f t="shared" si="6"/>
        <v>-1.0513947357705251</v>
      </c>
      <c r="C167">
        <f t="shared" si="7"/>
        <v>0.49636073812366666</v>
      </c>
      <c r="D167">
        <f t="shared" si="8"/>
        <v>-0.86811636181408813</v>
      </c>
    </row>
    <row r="168" spans="1:4" x14ac:dyDescent="0.3">
      <c r="A168">
        <v>168</v>
      </c>
      <c r="B168">
        <f t="shared" si="6"/>
        <v>-1.0388031820487225</v>
      </c>
      <c r="C168">
        <f t="shared" si="7"/>
        <v>0.50725203529867535</v>
      </c>
      <c r="D168">
        <f t="shared" si="8"/>
        <v>-0.86179775625453536</v>
      </c>
    </row>
    <row r="169" spans="1:4" x14ac:dyDescent="0.3">
      <c r="A169">
        <v>169</v>
      </c>
      <c r="B169">
        <f t="shared" si="6"/>
        <v>-1.0262116283269198</v>
      </c>
      <c r="C169">
        <f t="shared" si="7"/>
        <v>0.51806291013361627</v>
      </c>
      <c r="D169">
        <f t="shared" si="8"/>
        <v>-0.85534251685736318</v>
      </c>
    </row>
    <row r="170" spans="1:4" x14ac:dyDescent="0.3">
      <c r="A170">
        <v>170</v>
      </c>
      <c r="B170">
        <f t="shared" si="6"/>
        <v>-1.0136200746051167</v>
      </c>
      <c r="C170">
        <f t="shared" si="7"/>
        <v>0.52879164861692984</v>
      </c>
      <c r="D170">
        <f t="shared" si="8"/>
        <v>-0.84875166706934335</v>
      </c>
    </row>
    <row r="171" spans="1:4" x14ac:dyDescent="0.3">
      <c r="A171">
        <v>171</v>
      </c>
      <c r="B171">
        <f t="shared" si="6"/>
        <v>-1.0010285208833141</v>
      </c>
      <c r="C171">
        <f t="shared" si="7"/>
        <v>0.53943654975937361</v>
      </c>
      <c r="D171">
        <f t="shared" si="8"/>
        <v>-0.84202625183761515</v>
      </c>
    </row>
    <row r="172" spans="1:4" x14ac:dyDescent="0.3">
      <c r="A172">
        <v>172</v>
      </c>
      <c r="B172">
        <f t="shared" si="6"/>
        <v>-0.98843696716151142</v>
      </c>
      <c r="C172">
        <f t="shared" si="7"/>
        <v>0.5499959258637086</v>
      </c>
      <c r="D172">
        <f t="shared" si="8"/>
        <v>-0.83516733744401306</v>
      </c>
    </row>
    <row r="173" spans="1:4" x14ac:dyDescent="0.3">
      <c r="A173">
        <v>173</v>
      </c>
      <c r="B173">
        <f t="shared" si="6"/>
        <v>-0.97584541343970832</v>
      </c>
      <c r="C173">
        <f t="shared" si="7"/>
        <v>0.5604681027922741</v>
      </c>
      <c r="D173">
        <f t="shared" si="8"/>
        <v>-0.8281760113360136</v>
      </c>
    </row>
    <row r="174" spans="1:4" x14ac:dyDescent="0.3">
      <c r="A174">
        <v>174</v>
      </c>
      <c r="B174">
        <f t="shared" si="6"/>
        <v>-0.96325385971790567</v>
      </c>
      <c r="C174">
        <f t="shared" si="7"/>
        <v>0.57085142023241298</v>
      </c>
      <c r="D174">
        <f t="shared" si="8"/>
        <v>-0.82105338195432642</v>
      </c>
    </row>
    <row r="175" spans="1:4" x14ac:dyDescent="0.3">
      <c r="A175">
        <v>175</v>
      </c>
      <c r="B175">
        <f t="shared" si="6"/>
        <v>-0.95066230599610302</v>
      </c>
      <c r="C175">
        <f t="shared" si="7"/>
        <v>0.58114423195970821</v>
      </c>
      <c r="D175">
        <f t="shared" si="8"/>
        <v>-0.81380057855715537</v>
      </c>
    </row>
    <row r="176" spans="1:4" x14ac:dyDescent="0.3">
      <c r="A176">
        <v>176</v>
      </c>
      <c r="B176">
        <f t="shared" si="6"/>
        <v>-0.93807075227429992</v>
      </c>
      <c r="C176">
        <f t="shared" si="7"/>
        <v>0.59134490609898305</v>
      </c>
      <c r="D176">
        <f t="shared" si="8"/>
        <v>-0.80641875104116034</v>
      </c>
    </row>
    <row r="177" spans="1:4" x14ac:dyDescent="0.3">
      <c r="A177">
        <v>177</v>
      </c>
      <c r="B177">
        <f t="shared" si="6"/>
        <v>-0.92547919855249727</v>
      </c>
      <c r="C177">
        <f t="shared" si="7"/>
        <v>0.60145182538302566</v>
      </c>
      <c r="D177">
        <f t="shared" si="8"/>
        <v>-0.79890906975914755</v>
      </c>
    </row>
    <row r="178" spans="1:4" x14ac:dyDescent="0.3">
      <c r="A178">
        <v>178</v>
      </c>
      <c r="B178">
        <f t="shared" si="6"/>
        <v>-0.91288764483069462</v>
      </c>
      <c r="C178">
        <f t="shared" si="7"/>
        <v>0.61146338740900052</v>
      </c>
      <c r="D178">
        <f t="shared" si="8"/>
        <v>-0.79127272533451476</v>
      </c>
    </row>
    <row r="179" spans="1:4" x14ac:dyDescent="0.3">
      <c r="A179">
        <v>179</v>
      </c>
      <c r="B179">
        <f t="shared" si="6"/>
        <v>-0.90029609110889153</v>
      </c>
      <c r="C179">
        <f t="shared" si="7"/>
        <v>0.62137800489250161</v>
      </c>
      <c r="D179">
        <f t="shared" si="8"/>
        <v>-0.78351092847248416</v>
      </c>
    </row>
    <row r="180" spans="1:4" x14ac:dyDescent="0.3">
      <c r="A180">
        <v>180</v>
      </c>
      <c r="B180">
        <f t="shared" si="6"/>
        <v>-0.88770453738708888</v>
      </c>
      <c r="C180">
        <f t="shared" si="7"/>
        <v>0.63119410591920666</v>
      </c>
      <c r="D180">
        <f t="shared" si="8"/>
        <v>-0.77562490976815157</v>
      </c>
    </row>
    <row r="181" spans="1:4" x14ac:dyDescent="0.3">
      <c r="A181">
        <v>181</v>
      </c>
      <c r="B181">
        <f t="shared" si="6"/>
        <v>-0.87511298366528623</v>
      </c>
      <c r="C181">
        <f t="shared" si="7"/>
        <v>0.64091013419409903</v>
      </c>
      <c r="D181">
        <f t="shared" si="8"/>
        <v>-0.76761591951138042</v>
      </c>
    </row>
    <row r="182" spans="1:4" x14ac:dyDescent="0.3">
      <c r="A182">
        <v>182</v>
      </c>
      <c r="B182">
        <f t="shared" si="6"/>
        <v>-0.86252142994348313</v>
      </c>
      <c r="C182">
        <f t="shared" si="7"/>
        <v>0.65052454928820946</v>
      </c>
      <c r="D182">
        <f t="shared" si="8"/>
        <v>-0.75948522748857461</v>
      </c>
    </row>
    <row r="183" spans="1:4" x14ac:dyDescent="0.3">
      <c r="A183">
        <v>183</v>
      </c>
      <c r="B183">
        <f t="shared" si="6"/>
        <v>-0.84992987622168048</v>
      </c>
      <c r="C183">
        <f t="shared" si="7"/>
        <v>0.66003582688284268</v>
      </c>
      <c r="D183">
        <f t="shared" si="8"/>
        <v>-0.75123412278136181</v>
      </c>
    </row>
    <row r="184" spans="1:4" x14ac:dyDescent="0.3">
      <c r="A184">
        <v>184</v>
      </c>
      <c r="B184">
        <f t="shared" si="6"/>
        <v>-0.83733832249987783</v>
      </c>
      <c r="C184">
        <f t="shared" si="7"/>
        <v>0.66944245901125288</v>
      </c>
      <c r="D184">
        <f t="shared" si="8"/>
        <v>-0.74286391356221293</v>
      </c>
    </row>
    <row r="185" spans="1:4" x14ac:dyDescent="0.3">
      <c r="A185">
        <v>185</v>
      </c>
      <c r="B185">
        <f t="shared" si="6"/>
        <v>-0.82474676877807473</v>
      </c>
      <c r="C185">
        <f t="shared" si="7"/>
        <v>0.67874295429772324</v>
      </c>
      <c r="D185">
        <f t="shared" si="8"/>
        <v>-0.73437592688703979</v>
      </c>
    </row>
    <row r="186" spans="1:4" x14ac:dyDescent="0.3">
      <c r="A186">
        <v>186</v>
      </c>
      <c r="B186">
        <f t="shared" si="6"/>
        <v>-0.81215521505627208</v>
      </c>
      <c r="C186">
        <f t="shared" si="7"/>
        <v>0.68793583819401527</v>
      </c>
      <c r="D186">
        <f t="shared" si="8"/>
        <v>-0.72577150848479688</v>
      </c>
    </row>
    <row r="187" spans="1:4" x14ac:dyDescent="0.3">
      <c r="A187">
        <v>187</v>
      </c>
      <c r="B187">
        <f t="shared" si="6"/>
        <v>-0.79956366133446943</v>
      </c>
      <c r="C187">
        <f t="shared" si="7"/>
        <v>0.69701965321315373</v>
      </c>
      <c r="D187">
        <f t="shared" si="8"/>
        <v>-0.71705202254412126</v>
      </c>
    </row>
    <row r="188" spans="1:4" x14ac:dyDescent="0.3">
      <c r="A188">
        <v>188</v>
      </c>
      <c r="B188">
        <f t="shared" si="6"/>
        <v>-0.78697210761266634</v>
      </c>
      <c r="C188">
        <f t="shared" si="7"/>
        <v>0.70599295916050209</v>
      </c>
      <c r="D188">
        <f t="shared" si="8"/>
        <v>-0.70821885149704789</v>
      </c>
    </row>
    <row r="189" spans="1:4" x14ac:dyDescent="0.3">
      <c r="A189">
        <v>189</v>
      </c>
      <c r="B189">
        <f t="shared" si="6"/>
        <v>-0.77438055389086369</v>
      </c>
      <c r="C189">
        <f t="shared" si="7"/>
        <v>0.7148543333620988</v>
      </c>
      <c r="D189">
        <f t="shared" si="8"/>
        <v>-0.69927339579983261</v>
      </c>
    </row>
    <row r="190" spans="1:4" x14ac:dyDescent="0.3">
      <c r="A190">
        <v>190</v>
      </c>
      <c r="B190">
        <f t="shared" si="6"/>
        <v>-0.76178900016906104</v>
      </c>
      <c r="C190">
        <f t="shared" si="7"/>
        <v>0.72360237089021584</v>
      </c>
      <c r="D190">
        <f t="shared" si="8"/>
        <v>-0.6902170737109149</v>
      </c>
    </row>
    <row r="191" spans="1:4" x14ac:dyDescent="0.3">
      <c r="A191">
        <v>191</v>
      </c>
      <c r="B191">
        <f t="shared" si="6"/>
        <v>-0.74919744644725794</v>
      </c>
      <c r="C191">
        <f t="shared" si="7"/>
        <v>0.73223568478610324</v>
      </c>
      <c r="D191">
        <f t="shared" si="8"/>
        <v>-0.6810513210660607</v>
      </c>
    </row>
    <row r="192" spans="1:4" x14ac:dyDescent="0.3">
      <c r="A192">
        <v>192</v>
      </c>
      <c r="B192">
        <f t="shared" si="6"/>
        <v>-0.73660589272545529</v>
      </c>
      <c r="C192">
        <f t="shared" si="7"/>
        <v>0.74075290627988322</v>
      </c>
      <c r="D192">
        <f t="shared" si="8"/>
        <v>-0.67177759105071866</v>
      </c>
    </row>
    <row r="193" spans="1:4" x14ac:dyDescent="0.3">
      <c r="A193">
        <v>193</v>
      </c>
      <c r="B193">
        <f t="shared" ref="B193:B256" si="9">-3.14159265358979+(A193-1)*0.0125915537218028</f>
        <v>-0.72401433900365264</v>
      </c>
      <c r="C193">
        <f t="shared" ref="C193:C256" si="10">1*COS(B193)+0</f>
        <v>0.74915268500756382</v>
      </c>
      <c r="D193">
        <f t="shared" ref="D193:D256" si="11">1*SIN(B193)+0+0*COS(B193)</f>
        <v>-0.66239735396962285</v>
      </c>
    </row>
    <row r="194" spans="1:4" x14ac:dyDescent="0.3">
      <c r="A194">
        <v>194</v>
      </c>
      <c r="B194">
        <f t="shared" si="9"/>
        <v>-0.71142278528184955</v>
      </c>
      <c r="C194">
        <f t="shared" si="10"/>
        <v>0.7574336892251321</v>
      </c>
      <c r="D194">
        <f t="shared" si="11"/>
        <v>-0.65291209701368369</v>
      </c>
    </row>
    <row r="195" spans="1:4" x14ac:dyDescent="0.3">
      <c r="A195">
        <v>195</v>
      </c>
      <c r="B195">
        <f t="shared" si="9"/>
        <v>-0.69883123156004689</v>
      </c>
      <c r="C195">
        <f t="shared" si="10"/>
        <v>0.76559460601969409</v>
      </c>
      <c r="D195">
        <f t="shared" si="11"/>
        <v>-0.64332332402420278</v>
      </c>
    </row>
    <row r="196" spans="1:4" x14ac:dyDescent="0.3">
      <c r="A196">
        <v>196</v>
      </c>
      <c r="B196">
        <f t="shared" si="9"/>
        <v>-0.6862396778382438</v>
      </c>
      <c r="C196">
        <f t="shared" si="10"/>
        <v>0.77363414151763321</v>
      </c>
      <c r="D196">
        <f t="shared" si="11"/>
        <v>-0.63363255525444295</v>
      </c>
    </row>
    <row r="197" spans="1:4" x14ac:dyDescent="0.3">
      <c r="A197">
        <v>197</v>
      </c>
      <c r="B197">
        <f t="shared" si="9"/>
        <v>-0.67364812411644115</v>
      </c>
      <c r="C197">
        <f t="shared" si="10"/>
        <v>0.78155102108974517</v>
      </c>
      <c r="D197">
        <f t="shared" si="11"/>
        <v>-0.62384132712860307</v>
      </c>
    </row>
    <row r="198" spans="1:4" x14ac:dyDescent="0.3">
      <c r="A198">
        <v>198</v>
      </c>
      <c r="B198">
        <f t="shared" si="9"/>
        <v>-0.6610565703946385</v>
      </c>
      <c r="C198">
        <f t="shared" si="10"/>
        <v>0.78934398955332641</v>
      </c>
      <c r="D198">
        <f t="shared" si="11"/>
        <v>-0.61395119199822235</v>
      </c>
    </row>
    <row r="199" spans="1:4" x14ac:dyDescent="0.3">
      <c r="A199">
        <v>199</v>
      </c>
      <c r="B199">
        <f t="shared" si="9"/>
        <v>-0.6484650166728354</v>
      </c>
      <c r="C199">
        <f t="shared" si="10"/>
        <v>0.79701181137117627</v>
      </c>
      <c r="D199">
        <f t="shared" si="11"/>
        <v>-0.60396371789606418</v>
      </c>
    </row>
    <row r="200" spans="1:4" x14ac:dyDescent="0.3">
      <c r="A200">
        <v>200</v>
      </c>
      <c r="B200">
        <f t="shared" si="9"/>
        <v>-0.63587346295103275</v>
      </c>
      <c r="C200">
        <f t="shared" si="10"/>
        <v>0.80455327084748429</v>
      </c>
      <c r="D200">
        <f t="shared" si="11"/>
        <v>-0.59388048828751272</v>
      </c>
    </row>
    <row r="201" spans="1:4" x14ac:dyDescent="0.3">
      <c r="A201">
        <v>201</v>
      </c>
      <c r="B201">
        <f t="shared" si="9"/>
        <v>-0.6232819092292301</v>
      </c>
      <c r="C201">
        <f t="shared" si="10"/>
        <v>0.81196717232057491</v>
      </c>
      <c r="D201">
        <f t="shared" si="11"/>
        <v>-0.58370310181952068</v>
      </c>
    </row>
    <row r="202" spans="1:4" x14ac:dyDescent="0.3">
      <c r="A202">
        <v>202</v>
      </c>
      <c r="B202">
        <f t="shared" si="9"/>
        <v>-0.61069035550742701</v>
      </c>
      <c r="C202">
        <f t="shared" si="10"/>
        <v>0.81925234035247285</v>
      </c>
      <c r="D202">
        <f t="shared" si="11"/>
        <v>-0.57343317206715205</v>
      </c>
    </row>
    <row r="203" spans="1:4" x14ac:dyDescent="0.3">
      <c r="A203">
        <v>203</v>
      </c>
      <c r="B203">
        <f t="shared" si="9"/>
        <v>-0.59809880178562436</v>
      </c>
      <c r="C203">
        <f t="shared" si="10"/>
        <v>0.82640761991526213</v>
      </c>
      <c r="D203">
        <f t="shared" si="11"/>
        <v>-0.56307232727775902</v>
      </c>
    </row>
    <row r="204" spans="1:4" x14ac:dyDescent="0.3">
      <c r="A204">
        <v>204</v>
      </c>
      <c r="B204">
        <f t="shared" si="9"/>
        <v>-0.58550724806382171</v>
      </c>
      <c r="C204">
        <f t="shared" si="10"/>
        <v>0.83343187657421181</v>
      </c>
      <c r="D204">
        <f t="shared" si="11"/>
        <v>-0.55262221011282897</v>
      </c>
    </row>
    <row r="205" spans="1:4" x14ac:dyDescent="0.3">
      <c r="A205">
        <v>205</v>
      </c>
      <c r="B205">
        <f t="shared" si="9"/>
        <v>-0.57291569434201861</v>
      </c>
      <c r="C205">
        <f t="shared" si="10"/>
        <v>0.84032399666763458</v>
      </c>
      <c r="D205">
        <f t="shared" si="11"/>
        <v>-0.54208447738755017</v>
      </c>
    </row>
    <row r="206" spans="1:4" x14ac:dyDescent="0.3">
      <c r="A206">
        <v>206</v>
      </c>
      <c r="B206">
        <f t="shared" si="9"/>
        <v>-0.56032414062021596</v>
      </c>
      <c r="C206">
        <f t="shared" si="10"/>
        <v>0.84708288748345095</v>
      </c>
      <c r="D206">
        <f t="shared" si="11"/>
        <v>-0.53146079980813188</v>
      </c>
    </row>
    <row r="207" spans="1:4" x14ac:dyDescent="0.3">
      <c r="A207">
        <v>207</v>
      </c>
      <c r="B207">
        <f t="shared" si="9"/>
        <v>-0.54773258689841331</v>
      </c>
      <c r="C207">
        <f t="shared" si="10"/>
        <v>0.8537074774324358</v>
      </c>
      <c r="D207">
        <f t="shared" si="11"/>
        <v>-0.52075286170692059</v>
      </c>
    </row>
    <row r="208" spans="1:4" x14ac:dyDescent="0.3">
      <c r="A208">
        <v>208</v>
      </c>
      <c r="B208">
        <f t="shared" si="9"/>
        <v>-0.53514103317661021</v>
      </c>
      <c r="C208">
        <f t="shared" si="10"/>
        <v>0.86019671621811211</v>
      </c>
      <c r="D208">
        <f t="shared" si="11"/>
        <v>-0.50996236077535817</v>
      </c>
    </row>
    <row r="209" spans="1:4" x14ac:dyDescent="0.3">
      <c r="A209">
        <v>209</v>
      </c>
      <c r="B209">
        <f t="shared" si="9"/>
        <v>-0.52254947945480756</v>
      </c>
      <c r="C209">
        <f t="shared" si="10"/>
        <v>0.86654957500327034</v>
      </c>
      <c r="D209">
        <f t="shared" si="11"/>
        <v>-0.49909100779482252</v>
      </c>
    </row>
    <row r="210" spans="1:4" x14ac:dyDescent="0.3">
      <c r="A210">
        <v>210</v>
      </c>
      <c r="B210">
        <f t="shared" si="9"/>
        <v>-0.50995792573300491</v>
      </c>
      <c r="C210">
        <f t="shared" si="10"/>
        <v>0.87276504657308618</v>
      </c>
      <c r="D210">
        <f t="shared" si="11"/>
        <v>-0.48814052636538874</v>
      </c>
    </row>
    <row r="211" spans="1:4" x14ac:dyDescent="0.3">
      <c r="A211">
        <v>211</v>
      </c>
      <c r="B211">
        <f t="shared" si="9"/>
        <v>-0.49736637201120182</v>
      </c>
      <c r="C211">
        <f t="shared" si="10"/>
        <v>0.87884214549480955</v>
      </c>
      <c r="D211">
        <f t="shared" si="11"/>
        <v>-0.47711265263256231</v>
      </c>
    </row>
    <row r="212" spans="1:4" x14ac:dyDescent="0.3">
      <c r="A212">
        <v>212</v>
      </c>
      <c r="B212">
        <f t="shared" si="9"/>
        <v>-0.48477481828939917</v>
      </c>
      <c r="C212">
        <f t="shared" si="10"/>
        <v>0.88477990827399922</v>
      </c>
      <c r="D212">
        <f t="shared" si="11"/>
        <v>-0.46600913501202273</v>
      </c>
    </row>
    <row r="213" spans="1:4" x14ac:dyDescent="0.3">
      <c r="A213">
        <v>213</v>
      </c>
      <c r="B213">
        <f t="shared" si="9"/>
        <v>-0.47218326456759652</v>
      </c>
      <c r="C213">
        <f t="shared" si="10"/>
        <v>0.89057739350728138</v>
      </c>
      <c r="D213">
        <f t="shared" si="11"/>
        <v>-0.45483173391241832</v>
      </c>
    </row>
    <row r="214" spans="1:4" x14ac:dyDescent="0.3">
      <c r="A214">
        <v>214</v>
      </c>
      <c r="B214">
        <f t="shared" si="9"/>
        <v>-0.45959171084579342</v>
      </c>
      <c r="C214">
        <f t="shared" si="10"/>
        <v>0.89623368203160425</v>
      </c>
      <c r="D214">
        <f t="shared" si="11"/>
        <v>-0.44358222145626325</v>
      </c>
    </row>
    <row r="215" spans="1:4" x14ac:dyDescent="0.3">
      <c r="A215">
        <v>215</v>
      </c>
      <c r="B215">
        <f t="shared" si="9"/>
        <v>-0.44700015712399077</v>
      </c>
      <c r="C215">
        <f t="shared" si="10"/>
        <v>0.90174787706996573</v>
      </c>
      <c r="D215">
        <f t="shared" si="11"/>
        <v>-0.43226238119897725</v>
      </c>
    </row>
    <row r="216" spans="1:4" x14ac:dyDescent="0.3">
      <c r="A216">
        <v>216</v>
      </c>
      <c r="B216">
        <f t="shared" si="9"/>
        <v>-0.43440860340218812</v>
      </c>
      <c r="C216">
        <f t="shared" si="10"/>
        <v>0.907119104373595</v>
      </c>
      <c r="D216">
        <f t="shared" si="11"/>
        <v>-0.4208740078461094</v>
      </c>
    </row>
    <row r="217" spans="1:4" x14ac:dyDescent="0.3">
      <c r="A217">
        <v>217</v>
      </c>
      <c r="B217">
        <f t="shared" si="9"/>
        <v>-0.42181704968038503</v>
      </c>
      <c r="C217">
        <f t="shared" si="10"/>
        <v>0.91234651236055886</v>
      </c>
      <c r="D217">
        <f t="shared" si="11"/>
        <v>-0.40941890696879712</v>
      </c>
    </row>
    <row r="218" spans="1:4" x14ac:dyDescent="0.3">
      <c r="A218">
        <v>218</v>
      </c>
      <c r="B218">
        <f t="shared" si="9"/>
        <v>-0.40922549595858237</v>
      </c>
      <c r="C218">
        <f t="shared" si="10"/>
        <v>0.91742927225077642</v>
      </c>
      <c r="D218">
        <f t="shared" si="11"/>
        <v>-0.39789889471750334</v>
      </c>
    </row>
    <row r="219" spans="1:4" x14ac:dyDescent="0.3">
      <c r="A219">
        <v>219</v>
      </c>
      <c r="B219">
        <f t="shared" si="9"/>
        <v>-0.39663394223677972</v>
      </c>
      <c r="C219">
        <f t="shared" si="10"/>
        <v>0.92236657819741819</v>
      </c>
      <c r="D219">
        <f t="shared" si="11"/>
        <v>-0.38631579753407186</v>
      </c>
    </row>
    <row r="220" spans="1:4" x14ac:dyDescent="0.3">
      <c r="A220">
        <v>220</v>
      </c>
      <c r="B220">
        <f t="shared" si="9"/>
        <v>-0.38404238851497663</v>
      </c>
      <c r="C220">
        <f t="shared" si="10"/>
        <v>0.92715764741466955</v>
      </c>
      <c r="D220">
        <f t="shared" si="11"/>
        <v>-0.37467145186215534</v>
      </c>
    </row>
    <row r="221" spans="1:4" x14ac:dyDescent="0.3">
      <c r="A221">
        <v>221</v>
      </c>
      <c r="B221">
        <f t="shared" si="9"/>
        <v>-0.37145083479317398</v>
      </c>
      <c r="C221">
        <f t="shared" si="10"/>
        <v>0.93180172030183628</v>
      </c>
      <c r="D221">
        <f t="shared" si="11"/>
        <v>-0.3629677038560572</v>
      </c>
    </row>
    <row r="222" spans="1:4" x14ac:dyDescent="0.3">
      <c r="A222">
        <v>222</v>
      </c>
      <c r="B222">
        <f t="shared" si="9"/>
        <v>-0.35885928107137133</v>
      </c>
      <c r="C222">
        <f t="shared" si="10"/>
        <v>0.9362980605637774</v>
      </c>
      <c r="D222">
        <f t="shared" si="11"/>
        <v>-0.35120640908803058</v>
      </c>
    </row>
    <row r="223" spans="1:4" x14ac:dyDescent="0.3">
      <c r="A223">
        <v>223</v>
      </c>
      <c r="B223">
        <f t="shared" si="9"/>
        <v>-0.34626772734956823</v>
      </c>
      <c r="C223">
        <f t="shared" si="10"/>
        <v>0.94064595532763984</v>
      </c>
      <c r="D223">
        <f t="shared" si="11"/>
        <v>-0.3393894322540873</v>
      </c>
    </row>
    <row r="224" spans="1:4" x14ac:dyDescent="0.3">
      <c r="A224">
        <v>224</v>
      </c>
      <c r="B224">
        <f t="shared" si="9"/>
        <v>-0.33367617362776558</v>
      </c>
      <c r="C224">
        <f t="shared" si="10"/>
        <v>0.94484471525588132</v>
      </c>
      <c r="D224">
        <f t="shared" si="11"/>
        <v>-0.32751864687836102</v>
      </c>
    </row>
    <row r="225" spans="1:4" x14ac:dyDescent="0.3">
      <c r="A225">
        <v>225</v>
      </c>
      <c r="B225">
        <f t="shared" si="9"/>
        <v>-0.32108461990596293</v>
      </c>
      <c r="C225">
        <f t="shared" si="10"/>
        <v>0.94889367465556163</v>
      </c>
      <c r="D225">
        <f t="shared" si="11"/>
        <v>-0.31559593501606631</v>
      </c>
    </row>
    <row r="226" spans="1:4" x14ac:dyDescent="0.3">
      <c r="A226">
        <v>226</v>
      </c>
      <c r="B226">
        <f t="shared" si="9"/>
        <v>-0.30849306618415984</v>
      </c>
      <c r="C226">
        <f t="shared" si="10"/>
        <v>0.95279219158388506</v>
      </c>
      <c r="D226">
        <f t="shared" si="11"/>
        <v>-0.30362318695510926</v>
      </c>
    </row>
    <row r="227" spans="1:4" x14ac:dyDescent="0.3">
      <c r="A227">
        <v>227</v>
      </c>
      <c r="B227">
        <f t="shared" si="9"/>
        <v>-0.29590151246235719</v>
      </c>
      <c r="C227">
        <f t="shared" si="10"/>
        <v>0.9565396479499767</v>
      </c>
      <c r="D227">
        <f t="shared" si="11"/>
        <v>-0.29160230091639305</v>
      </c>
    </row>
    <row r="228" spans="1:4" x14ac:dyDescent="0.3">
      <c r="A228">
        <v>228</v>
      </c>
      <c r="B228">
        <f t="shared" si="9"/>
        <v>-0.28330995874055453</v>
      </c>
      <c r="C228">
        <f t="shared" si="10"/>
        <v>0.96013544961287856</v>
      </c>
      <c r="D228">
        <f t="shared" si="11"/>
        <v>-0.27953518275286143</v>
      </c>
    </row>
    <row r="229" spans="1:4" x14ac:dyDescent="0.3">
      <c r="A229">
        <v>229</v>
      </c>
      <c r="B229">
        <f t="shared" si="9"/>
        <v>-0.27071840501875144</v>
      </c>
      <c r="C229">
        <f t="shared" si="10"/>
        <v>0.96357902647574722</v>
      </c>
      <c r="D229">
        <f t="shared" si="11"/>
        <v>-0.26742374564733634</v>
      </c>
    </row>
    <row r="230" spans="1:4" x14ac:dyDescent="0.3">
      <c r="A230">
        <v>230</v>
      </c>
      <c r="B230">
        <f t="shared" si="9"/>
        <v>-0.25812685129694879</v>
      </c>
      <c r="C230">
        <f t="shared" si="10"/>
        <v>0.96686983257623993</v>
      </c>
      <c r="D230">
        <f t="shared" si="11"/>
        <v>-0.25526990980919356</v>
      </c>
    </row>
    <row r="231" spans="1:4" x14ac:dyDescent="0.3">
      <c r="A231">
        <v>231</v>
      </c>
      <c r="B231">
        <f t="shared" si="9"/>
        <v>-0.24553529757514614</v>
      </c>
      <c r="C231">
        <f t="shared" si="10"/>
        <v>0.97000734617307449</v>
      </c>
      <c r="D231">
        <f t="shared" si="11"/>
        <v>-0.24307560216992019</v>
      </c>
    </row>
    <row r="232" spans="1:4" x14ac:dyDescent="0.3">
      <c r="A232">
        <v>232</v>
      </c>
      <c r="B232">
        <f t="shared" si="9"/>
        <v>-0.23294374385334304</v>
      </c>
      <c r="C232">
        <f t="shared" si="10"/>
        <v>0.97299106982874872</v>
      </c>
      <c r="D232">
        <f t="shared" si="11"/>
        <v>-0.23084275607761018</v>
      </c>
    </row>
    <row r="233" spans="1:4" x14ac:dyDescent="0.3">
      <c r="A233">
        <v>233</v>
      </c>
      <c r="B233">
        <f t="shared" si="9"/>
        <v>-0.22035219013154039</v>
      </c>
      <c r="C233">
        <f t="shared" si="10"/>
        <v>0.97582053048840656</v>
      </c>
      <c r="D233">
        <f t="shared" si="11"/>
        <v>-0.21857331099044294</v>
      </c>
    </row>
    <row r="234" spans="1:4" x14ac:dyDescent="0.3">
      <c r="A234">
        <v>234</v>
      </c>
      <c r="B234">
        <f t="shared" si="9"/>
        <v>-0.20776063640973774</v>
      </c>
      <c r="C234">
        <f t="shared" si="10"/>
        <v>0.97849527955483873</v>
      </c>
      <c r="D234">
        <f t="shared" si="11"/>
        <v>-0.206269212169189</v>
      </c>
    </row>
    <row r="235" spans="1:4" x14ac:dyDescent="0.3">
      <c r="A235">
        <v>235</v>
      </c>
      <c r="B235">
        <f t="shared" si="9"/>
        <v>-0.19516908268793465</v>
      </c>
      <c r="C235">
        <f t="shared" si="10"/>
        <v>0.9810148929596062</v>
      </c>
      <c r="D235">
        <f t="shared" si="11"/>
        <v>-0.1939324103687996</v>
      </c>
    </row>
    <row r="236" spans="1:4" x14ac:dyDescent="0.3">
      <c r="A236">
        <v>236</v>
      </c>
      <c r="B236">
        <f t="shared" si="9"/>
        <v>-0.182577528966132</v>
      </c>
      <c r="C236">
        <f t="shared" si="10"/>
        <v>0.98337897123027274</v>
      </c>
      <c r="D236">
        <f t="shared" si="11"/>
        <v>-0.18156486152912546</v>
      </c>
    </row>
    <row r="237" spans="1:4" x14ac:dyDescent="0.3">
      <c r="A237">
        <v>237</v>
      </c>
      <c r="B237">
        <f t="shared" si="9"/>
        <v>-0.16998597524432935</v>
      </c>
      <c r="C237">
        <f t="shared" si="10"/>
        <v>0.98558713955374089</v>
      </c>
      <c r="D237">
        <f t="shared" si="11"/>
        <v>-0.16916852646480929</v>
      </c>
    </row>
    <row r="238" spans="1:4" x14ac:dyDescent="0.3">
      <c r="A238">
        <v>238</v>
      </c>
      <c r="B238">
        <f t="shared" si="9"/>
        <v>-0.15739442152252625</v>
      </c>
      <c r="C238">
        <f t="shared" si="10"/>
        <v>0.98763904783567602</v>
      </c>
      <c r="D238">
        <f t="shared" si="11"/>
        <v>-0.15674537055440954</v>
      </c>
    </row>
    <row r="239" spans="1:4" x14ac:dyDescent="0.3">
      <c r="A239">
        <v>239</v>
      </c>
      <c r="B239">
        <f t="shared" si="9"/>
        <v>-0.1448028678007236</v>
      </c>
      <c r="C239">
        <f t="shared" si="10"/>
        <v>0.98953437075601203</v>
      </c>
      <c r="D239">
        <f t="shared" si="11"/>
        <v>-0.14429736342880053</v>
      </c>
    </row>
    <row r="240" spans="1:4" x14ac:dyDescent="0.3">
      <c r="A240">
        <v>240</v>
      </c>
      <c r="B240">
        <f t="shared" si="9"/>
        <v>-0.13221131407892095</v>
      </c>
      <c r="C240">
        <f t="shared" si="10"/>
        <v>0.99127280782052929</v>
      </c>
      <c r="D240">
        <f t="shared" si="11"/>
        <v>-0.13182647865889446</v>
      </c>
    </row>
    <row r="241" spans="1:4" x14ac:dyDescent="0.3">
      <c r="A241">
        <v>241</v>
      </c>
      <c r="B241">
        <f t="shared" si="9"/>
        <v>-0.11961976035711785</v>
      </c>
      <c r="C241">
        <f t="shared" si="10"/>
        <v>0.99285408340849701</v>
      </c>
      <c r="D241">
        <f t="shared" si="11"/>
        <v>-0.11933469344274253</v>
      </c>
    </row>
    <row r="242" spans="1:4" x14ac:dyDescent="0.3">
      <c r="A242">
        <v>242</v>
      </c>
      <c r="B242">
        <f t="shared" si="9"/>
        <v>-0.1070282066353152</v>
      </c>
      <c r="C242">
        <f t="shared" si="10"/>
        <v>0.99427794681637061</v>
      </c>
      <c r="D242">
        <f t="shared" si="11"/>
        <v>-0.1068239882920613</v>
      </c>
    </row>
    <row r="243" spans="1:4" x14ac:dyDescent="0.3">
      <c r="A243">
        <v>243</v>
      </c>
      <c r="B243">
        <f t="shared" si="9"/>
        <v>-9.4436652913512553E-2</v>
      </c>
      <c r="C243">
        <f t="shared" si="10"/>
        <v>0.99554417229754077</v>
      </c>
      <c r="D243">
        <f t="shared" si="11"/>
        <v>-9.4296346718229507E-2</v>
      </c>
    </row>
    <row r="244" spans="1:4" x14ac:dyDescent="0.3">
      <c r="A244">
        <v>244</v>
      </c>
      <c r="B244">
        <f t="shared" si="9"/>
        <v>-8.1845099191709458E-2</v>
      </c>
      <c r="C244">
        <f t="shared" si="10"/>
        <v>0.99665255909812334</v>
      </c>
      <c r="D244">
        <f t="shared" si="11"/>
        <v>-8.1753754917813268E-2</v>
      </c>
    </row>
    <row r="245" spans="1:4" x14ac:dyDescent="0.3">
      <c r="A245">
        <v>245</v>
      </c>
      <c r="B245">
        <f t="shared" si="9"/>
        <v>-6.9253545469906808E-2</v>
      </c>
      <c r="C245">
        <f t="shared" si="10"/>
        <v>0.99760293148878842</v>
      </c>
      <c r="D245">
        <f t="shared" si="11"/>
        <v>-6.919820145766567E-2</v>
      </c>
    </row>
    <row r="246" spans="1:4" x14ac:dyDescent="0.3">
      <c r="A246">
        <v>246</v>
      </c>
      <c r="B246">
        <f t="shared" si="9"/>
        <v>-5.6661991748104157E-2</v>
      </c>
      <c r="C246">
        <f t="shared" si="10"/>
        <v>0.99839513879262165</v>
      </c>
      <c r="D246">
        <f t="shared" si="11"/>
        <v>-5.6631676959646479E-2</v>
      </c>
    </row>
    <row r="247" spans="1:4" x14ac:dyDescent="0.3">
      <c r="A247">
        <v>247</v>
      </c>
      <c r="B247">
        <f t="shared" si="9"/>
        <v>-4.4070438026301062E-2</v>
      </c>
      <c r="C247">
        <f t="shared" si="10"/>
        <v>0.99902905540901266</v>
      </c>
      <c r="D247">
        <f t="shared" si="11"/>
        <v>-4.4056173785020115E-2</v>
      </c>
    </row>
    <row r="248" spans="1:4" x14ac:dyDescent="0.3">
      <c r="A248">
        <v>248</v>
      </c>
      <c r="B248">
        <f t="shared" si="9"/>
        <v>-3.1478884304498411E-2</v>
      </c>
      <c r="C248">
        <f t="shared" si="10"/>
        <v>0.99950458083356886</v>
      </c>
      <c r="D248">
        <f t="shared" si="11"/>
        <v>-3.1473685718577782E-2</v>
      </c>
    </row>
    <row r="249" spans="1:4" x14ac:dyDescent="0.3">
      <c r="A249">
        <v>249</v>
      </c>
      <c r="B249">
        <f t="shared" si="9"/>
        <v>-1.888733058269576E-2</v>
      </c>
      <c r="C249">
        <f t="shared" si="10"/>
        <v>0.9998216396740498</v>
      </c>
      <c r="D249">
        <f t="shared" si="11"/>
        <v>-1.8886207652529921E-2</v>
      </c>
    </row>
    <row r="250" spans="1:4" x14ac:dyDescent="0.3">
      <c r="A250">
        <v>250</v>
      </c>
      <c r="B250">
        <f t="shared" si="9"/>
        <v>-6.2957768608926656E-3</v>
      </c>
      <c r="C250">
        <f t="shared" si="10"/>
        <v>0.99998018166232039</v>
      </c>
      <c r="D250">
        <f t="shared" si="11"/>
        <v>-6.2957352702271195E-3</v>
      </c>
    </row>
    <row r="251" spans="1:4" x14ac:dyDescent="0.3">
      <c r="A251">
        <v>251</v>
      </c>
      <c r="B251">
        <f t="shared" si="9"/>
        <v>6.2957768609099851E-3</v>
      </c>
      <c r="C251">
        <f t="shared" si="10"/>
        <v>0.99998018166232028</v>
      </c>
      <c r="D251">
        <f t="shared" si="11"/>
        <v>6.295735270244439E-3</v>
      </c>
    </row>
    <row r="252" spans="1:4" x14ac:dyDescent="0.3">
      <c r="A252">
        <v>252</v>
      </c>
      <c r="B252">
        <f t="shared" si="9"/>
        <v>1.8887330582712636E-2</v>
      </c>
      <c r="C252">
        <f t="shared" si="10"/>
        <v>0.99982163967404947</v>
      </c>
      <c r="D252">
        <f t="shared" si="11"/>
        <v>1.8886207652546793E-2</v>
      </c>
    </row>
    <row r="253" spans="1:4" x14ac:dyDescent="0.3">
      <c r="A253">
        <v>253</v>
      </c>
      <c r="B253">
        <f t="shared" si="9"/>
        <v>3.1478884304515731E-2</v>
      </c>
      <c r="C253">
        <f t="shared" si="10"/>
        <v>0.9995045808335683</v>
      </c>
      <c r="D253">
        <f t="shared" si="11"/>
        <v>3.1473685718595094E-2</v>
      </c>
    </row>
    <row r="254" spans="1:4" x14ac:dyDescent="0.3">
      <c r="A254">
        <v>254</v>
      </c>
      <c r="B254">
        <f t="shared" si="9"/>
        <v>4.4070438026318381E-2</v>
      </c>
      <c r="C254">
        <f t="shared" si="10"/>
        <v>0.99902905540901188</v>
      </c>
      <c r="D254">
        <f t="shared" si="11"/>
        <v>4.4056173785037421E-2</v>
      </c>
    </row>
    <row r="255" spans="1:4" x14ac:dyDescent="0.3">
      <c r="A255">
        <v>255</v>
      </c>
      <c r="B255">
        <f t="shared" si="9"/>
        <v>5.6661991748121032E-2</v>
      </c>
      <c r="C255">
        <f t="shared" si="10"/>
        <v>0.99839513879262065</v>
      </c>
      <c r="D255">
        <f t="shared" si="11"/>
        <v>5.6631676959663327E-2</v>
      </c>
    </row>
    <row r="256" spans="1:4" x14ac:dyDescent="0.3">
      <c r="A256">
        <v>256</v>
      </c>
      <c r="B256">
        <f t="shared" si="9"/>
        <v>6.9253545469924127E-2</v>
      </c>
      <c r="C256">
        <f t="shared" si="10"/>
        <v>0.9976029314887872</v>
      </c>
      <c r="D256">
        <f t="shared" si="11"/>
        <v>6.9198201457682948E-2</v>
      </c>
    </row>
    <row r="257" spans="1:4" x14ac:dyDescent="0.3">
      <c r="A257">
        <v>257</v>
      </c>
      <c r="B257">
        <f t="shared" ref="B257:B320" si="12">-3.14159265358979+(A257-1)*0.0125915537218028</f>
        <v>8.1845099191726778E-2</v>
      </c>
      <c r="C257">
        <f t="shared" ref="C257:C320" si="13">1*COS(B257)+0</f>
        <v>0.99665255909812189</v>
      </c>
      <c r="D257">
        <f t="shared" ref="D257:D320" si="14">1*SIN(B257)+0+0*COS(B257)</f>
        <v>8.1753754917830532E-2</v>
      </c>
    </row>
    <row r="258" spans="1:4" x14ac:dyDescent="0.3">
      <c r="A258">
        <v>258</v>
      </c>
      <c r="B258">
        <f t="shared" si="12"/>
        <v>9.4436652913529429E-2</v>
      </c>
      <c r="C258">
        <f t="shared" si="13"/>
        <v>0.99554417229753911</v>
      </c>
      <c r="D258">
        <f t="shared" si="14"/>
        <v>9.4296346718246313E-2</v>
      </c>
    </row>
    <row r="259" spans="1:4" x14ac:dyDescent="0.3">
      <c r="A259">
        <v>259</v>
      </c>
      <c r="B259">
        <f t="shared" si="12"/>
        <v>0.10702820663533252</v>
      </c>
      <c r="C259">
        <f t="shared" si="13"/>
        <v>0.99427794681636883</v>
      </c>
      <c r="D259">
        <f t="shared" si="14"/>
        <v>0.10682398829207852</v>
      </c>
    </row>
    <row r="260" spans="1:4" x14ac:dyDescent="0.3">
      <c r="A260">
        <v>260</v>
      </c>
      <c r="B260">
        <f t="shared" si="12"/>
        <v>0.11961976035713517</v>
      </c>
      <c r="C260">
        <f t="shared" si="13"/>
        <v>0.9928540834084949</v>
      </c>
      <c r="D260">
        <f t="shared" si="14"/>
        <v>0.11933469344275972</v>
      </c>
    </row>
    <row r="261" spans="1:4" x14ac:dyDescent="0.3">
      <c r="A261">
        <v>261</v>
      </c>
      <c r="B261">
        <f t="shared" si="12"/>
        <v>0.13221131407893782</v>
      </c>
      <c r="C261">
        <f t="shared" si="13"/>
        <v>0.99127280782052707</v>
      </c>
      <c r="D261">
        <f t="shared" si="14"/>
        <v>0.13182647865891117</v>
      </c>
    </row>
    <row r="262" spans="1:4" x14ac:dyDescent="0.3">
      <c r="A262">
        <v>262</v>
      </c>
      <c r="B262">
        <f t="shared" si="12"/>
        <v>0.14480286780074092</v>
      </c>
      <c r="C262">
        <f t="shared" si="13"/>
        <v>0.98953437075600947</v>
      </c>
      <c r="D262">
        <f t="shared" si="14"/>
        <v>0.14429736342881769</v>
      </c>
    </row>
    <row r="263" spans="1:4" x14ac:dyDescent="0.3">
      <c r="A263">
        <v>263</v>
      </c>
      <c r="B263">
        <f t="shared" si="12"/>
        <v>0.15739442152254357</v>
      </c>
      <c r="C263">
        <f t="shared" si="13"/>
        <v>0.98763904783567336</v>
      </c>
      <c r="D263">
        <f t="shared" si="14"/>
        <v>0.15674537055442664</v>
      </c>
    </row>
    <row r="264" spans="1:4" x14ac:dyDescent="0.3">
      <c r="A264">
        <v>264</v>
      </c>
      <c r="B264">
        <f t="shared" si="12"/>
        <v>0.16998597524434622</v>
      </c>
      <c r="C264">
        <f t="shared" si="13"/>
        <v>0.985587139553738</v>
      </c>
      <c r="D264">
        <f t="shared" si="14"/>
        <v>0.16916852646482591</v>
      </c>
    </row>
    <row r="265" spans="1:4" x14ac:dyDescent="0.3">
      <c r="A265">
        <v>265</v>
      </c>
      <c r="B265">
        <f t="shared" si="12"/>
        <v>0.18257752896614932</v>
      </c>
      <c r="C265">
        <f t="shared" si="13"/>
        <v>0.98337897123026952</v>
      </c>
      <c r="D265">
        <f t="shared" si="14"/>
        <v>0.1815648615291425</v>
      </c>
    </row>
    <row r="266" spans="1:4" x14ac:dyDescent="0.3">
      <c r="A266">
        <v>266</v>
      </c>
      <c r="B266">
        <f t="shared" si="12"/>
        <v>0.19516908268795197</v>
      </c>
      <c r="C266">
        <f t="shared" si="13"/>
        <v>0.98101489295960276</v>
      </c>
      <c r="D266">
        <f t="shared" si="14"/>
        <v>0.19393241036881659</v>
      </c>
    </row>
    <row r="267" spans="1:4" x14ac:dyDescent="0.3">
      <c r="A267">
        <v>267</v>
      </c>
      <c r="B267">
        <f t="shared" si="12"/>
        <v>0.20776063640975462</v>
      </c>
      <c r="C267">
        <f t="shared" si="13"/>
        <v>0.97849527955483528</v>
      </c>
      <c r="D267">
        <f t="shared" si="14"/>
        <v>0.20626921216920552</v>
      </c>
    </row>
    <row r="268" spans="1:4" x14ac:dyDescent="0.3">
      <c r="A268">
        <v>268</v>
      </c>
      <c r="B268">
        <f t="shared" si="12"/>
        <v>0.22035219013155771</v>
      </c>
      <c r="C268">
        <f t="shared" si="13"/>
        <v>0.97582053048840278</v>
      </c>
      <c r="D268">
        <f t="shared" si="14"/>
        <v>0.21857331099045985</v>
      </c>
    </row>
    <row r="269" spans="1:4" x14ac:dyDescent="0.3">
      <c r="A269">
        <v>269</v>
      </c>
      <c r="B269">
        <f t="shared" si="12"/>
        <v>0.23294374385336036</v>
      </c>
      <c r="C269">
        <f t="shared" si="13"/>
        <v>0.97299106982874473</v>
      </c>
      <c r="D269">
        <f t="shared" si="14"/>
        <v>0.23084275607762703</v>
      </c>
    </row>
    <row r="270" spans="1:4" x14ac:dyDescent="0.3">
      <c r="A270">
        <v>270</v>
      </c>
      <c r="B270">
        <f t="shared" si="12"/>
        <v>0.24553529757516301</v>
      </c>
      <c r="C270">
        <f t="shared" si="13"/>
        <v>0.97000734617307038</v>
      </c>
      <c r="D270">
        <f t="shared" si="14"/>
        <v>0.24307560216993654</v>
      </c>
    </row>
    <row r="271" spans="1:4" x14ac:dyDescent="0.3">
      <c r="A271">
        <v>271</v>
      </c>
      <c r="B271">
        <f t="shared" si="12"/>
        <v>0.25812685129696611</v>
      </c>
      <c r="C271">
        <f t="shared" si="13"/>
        <v>0.96686983257623549</v>
      </c>
      <c r="D271">
        <f t="shared" si="14"/>
        <v>0.25526990980921033</v>
      </c>
    </row>
    <row r="272" spans="1:4" x14ac:dyDescent="0.3">
      <c r="A272">
        <v>272</v>
      </c>
      <c r="B272">
        <f t="shared" si="12"/>
        <v>0.27071840501876876</v>
      </c>
      <c r="C272">
        <f t="shared" si="13"/>
        <v>0.96357902647574256</v>
      </c>
      <c r="D272">
        <f t="shared" si="14"/>
        <v>0.267423745647353</v>
      </c>
    </row>
    <row r="273" spans="1:4" x14ac:dyDescent="0.3">
      <c r="A273">
        <v>273</v>
      </c>
      <c r="B273">
        <f t="shared" si="12"/>
        <v>0.28330995874057141</v>
      </c>
      <c r="C273">
        <f t="shared" si="13"/>
        <v>0.96013544961287378</v>
      </c>
      <c r="D273">
        <f t="shared" si="14"/>
        <v>0.27953518275287759</v>
      </c>
    </row>
    <row r="274" spans="1:4" x14ac:dyDescent="0.3">
      <c r="A274">
        <v>274</v>
      </c>
      <c r="B274">
        <f t="shared" si="12"/>
        <v>0.29590151246237451</v>
      </c>
      <c r="C274">
        <f t="shared" si="13"/>
        <v>0.95653964794997159</v>
      </c>
      <c r="D274">
        <f t="shared" si="14"/>
        <v>0.29160230091640965</v>
      </c>
    </row>
    <row r="275" spans="1:4" x14ac:dyDescent="0.3">
      <c r="A275">
        <v>275</v>
      </c>
      <c r="B275">
        <f t="shared" si="12"/>
        <v>0.30849306618417716</v>
      </c>
      <c r="C275">
        <f t="shared" si="13"/>
        <v>0.95279219158387984</v>
      </c>
      <c r="D275">
        <f t="shared" si="14"/>
        <v>0.3036231869551258</v>
      </c>
    </row>
    <row r="276" spans="1:4" x14ac:dyDescent="0.3">
      <c r="A276">
        <v>276</v>
      </c>
      <c r="B276">
        <f t="shared" si="12"/>
        <v>0.32108461990597981</v>
      </c>
      <c r="C276">
        <f t="shared" si="13"/>
        <v>0.9488936746555563</v>
      </c>
      <c r="D276">
        <f t="shared" si="14"/>
        <v>0.3155959350160823</v>
      </c>
    </row>
    <row r="277" spans="1:4" x14ac:dyDescent="0.3">
      <c r="A277">
        <v>277</v>
      </c>
      <c r="B277">
        <f t="shared" si="12"/>
        <v>0.3336761736277829</v>
      </c>
      <c r="C277">
        <f t="shared" si="13"/>
        <v>0.94484471525587566</v>
      </c>
      <c r="D277">
        <f t="shared" si="14"/>
        <v>0.3275186468783774</v>
      </c>
    </row>
    <row r="278" spans="1:4" x14ac:dyDescent="0.3">
      <c r="A278">
        <v>278</v>
      </c>
      <c r="B278">
        <f t="shared" si="12"/>
        <v>0.34626772734958555</v>
      </c>
      <c r="C278">
        <f t="shared" si="13"/>
        <v>0.94064595532763395</v>
      </c>
      <c r="D278">
        <f t="shared" si="14"/>
        <v>0.33938943225410362</v>
      </c>
    </row>
    <row r="279" spans="1:4" x14ac:dyDescent="0.3">
      <c r="A279">
        <v>279</v>
      </c>
      <c r="B279">
        <f t="shared" si="12"/>
        <v>0.3588592810713882</v>
      </c>
      <c r="C279">
        <f t="shared" si="13"/>
        <v>0.93629806056377141</v>
      </c>
      <c r="D279">
        <f t="shared" si="14"/>
        <v>0.35120640908804635</v>
      </c>
    </row>
    <row r="280" spans="1:4" x14ac:dyDescent="0.3">
      <c r="A280">
        <v>280</v>
      </c>
      <c r="B280">
        <f t="shared" si="12"/>
        <v>0.3714508347931913</v>
      </c>
      <c r="C280">
        <f t="shared" si="13"/>
        <v>0.93180172030183006</v>
      </c>
      <c r="D280">
        <f t="shared" si="14"/>
        <v>0.36296770385607335</v>
      </c>
    </row>
    <row r="281" spans="1:4" x14ac:dyDescent="0.3">
      <c r="A281">
        <v>281</v>
      </c>
      <c r="B281">
        <f t="shared" si="12"/>
        <v>0.38404238851499395</v>
      </c>
      <c r="C281">
        <f t="shared" si="13"/>
        <v>0.927157647414663</v>
      </c>
      <c r="D281">
        <f t="shared" si="14"/>
        <v>0.37467145186217138</v>
      </c>
    </row>
    <row r="282" spans="1:4" x14ac:dyDescent="0.3">
      <c r="A282">
        <v>282</v>
      </c>
      <c r="B282">
        <f t="shared" si="12"/>
        <v>0.3966339422367966</v>
      </c>
      <c r="C282">
        <f t="shared" si="13"/>
        <v>0.92236657819741175</v>
      </c>
      <c r="D282">
        <f t="shared" si="14"/>
        <v>0.3863157975340874</v>
      </c>
    </row>
    <row r="283" spans="1:4" x14ac:dyDescent="0.3">
      <c r="A283">
        <v>283</v>
      </c>
      <c r="B283">
        <f t="shared" si="12"/>
        <v>0.40922549595859969</v>
      </c>
      <c r="C283">
        <f t="shared" si="13"/>
        <v>0.91742927225076953</v>
      </c>
      <c r="D283">
        <f t="shared" si="14"/>
        <v>0.39789889471751921</v>
      </c>
    </row>
    <row r="284" spans="1:4" x14ac:dyDescent="0.3">
      <c r="A284">
        <v>284</v>
      </c>
      <c r="B284">
        <f t="shared" si="12"/>
        <v>0.42181704968040235</v>
      </c>
      <c r="C284">
        <f t="shared" si="13"/>
        <v>0.91234651236055175</v>
      </c>
      <c r="D284">
        <f t="shared" si="14"/>
        <v>0.40941890696881295</v>
      </c>
    </row>
    <row r="285" spans="1:4" x14ac:dyDescent="0.3">
      <c r="A285">
        <v>285</v>
      </c>
      <c r="B285">
        <f t="shared" si="12"/>
        <v>0.434408603402205</v>
      </c>
      <c r="C285">
        <f t="shared" si="13"/>
        <v>0.90711910437358789</v>
      </c>
      <c r="D285">
        <f t="shared" si="14"/>
        <v>0.42087400784612472</v>
      </c>
    </row>
    <row r="286" spans="1:4" x14ac:dyDescent="0.3">
      <c r="A286">
        <v>286</v>
      </c>
      <c r="B286">
        <f t="shared" si="12"/>
        <v>0.44700015712400809</v>
      </c>
      <c r="C286">
        <f t="shared" si="13"/>
        <v>0.90174787706995829</v>
      </c>
      <c r="D286">
        <f t="shared" si="14"/>
        <v>0.43226238119899291</v>
      </c>
    </row>
    <row r="287" spans="1:4" x14ac:dyDescent="0.3">
      <c r="A287">
        <v>287</v>
      </c>
      <c r="B287">
        <f t="shared" si="12"/>
        <v>0.45959171084581074</v>
      </c>
      <c r="C287">
        <f t="shared" si="13"/>
        <v>0.89623368203159648</v>
      </c>
      <c r="D287">
        <f t="shared" si="14"/>
        <v>0.44358222145627879</v>
      </c>
    </row>
    <row r="288" spans="1:4" x14ac:dyDescent="0.3">
      <c r="A288">
        <v>288</v>
      </c>
      <c r="B288">
        <f t="shared" si="12"/>
        <v>0.47218326456761339</v>
      </c>
      <c r="C288">
        <f t="shared" si="13"/>
        <v>0.89057739350727372</v>
      </c>
      <c r="D288">
        <f t="shared" si="14"/>
        <v>0.45483173391243337</v>
      </c>
    </row>
    <row r="289" spans="1:4" x14ac:dyDescent="0.3">
      <c r="A289">
        <v>289</v>
      </c>
      <c r="B289">
        <f t="shared" si="12"/>
        <v>0.48477481828941649</v>
      </c>
      <c r="C289">
        <f t="shared" si="13"/>
        <v>0.88477990827399111</v>
      </c>
      <c r="D289">
        <f t="shared" si="14"/>
        <v>0.46600913501203806</v>
      </c>
    </row>
    <row r="290" spans="1:4" x14ac:dyDescent="0.3">
      <c r="A290">
        <v>290</v>
      </c>
      <c r="B290">
        <f t="shared" si="12"/>
        <v>0.49736637201121914</v>
      </c>
      <c r="C290">
        <f t="shared" si="13"/>
        <v>0.87884214549480122</v>
      </c>
      <c r="D290">
        <f t="shared" si="14"/>
        <v>0.47711265263257752</v>
      </c>
    </row>
    <row r="291" spans="1:4" x14ac:dyDescent="0.3">
      <c r="A291">
        <v>291</v>
      </c>
      <c r="B291">
        <f t="shared" si="12"/>
        <v>0.50995792573302179</v>
      </c>
      <c r="C291">
        <f t="shared" si="13"/>
        <v>0.87276504657307785</v>
      </c>
      <c r="D291">
        <f t="shared" si="14"/>
        <v>0.48814052636540345</v>
      </c>
    </row>
    <row r="292" spans="1:4" x14ac:dyDescent="0.3">
      <c r="A292">
        <v>292</v>
      </c>
      <c r="B292">
        <f t="shared" si="12"/>
        <v>0.52254947945482488</v>
      </c>
      <c r="C292">
        <f t="shared" si="13"/>
        <v>0.86654957500326169</v>
      </c>
      <c r="D292">
        <f t="shared" si="14"/>
        <v>0.49909100779483756</v>
      </c>
    </row>
    <row r="293" spans="1:4" x14ac:dyDescent="0.3">
      <c r="A293">
        <v>293</v>
      </c>
      <c r="B293">
        <f t="shared" si="12"/>
        <v>0.53514103317662753</v>
      </c>
      <c r="C293">
        <f t="shared" si="13"/>
        <v>0.86019671621810334</v>
      </c>
      <c r="D293">
        <f t="shared" si="14"/>
        <v>0.50996236077537316</v>
      </c>
    </row>
    <row r="294" spans="1:4" x14ac:dyDescent="0.3">
      <c r="A294">
        <v>294</v>
      </c>
      <c r="B294">
        <f t="shared" si="12"/>
        <v>0.54773258689843018</v>
      </c>
      <c r="C294">
        <f t="shared" si="13"/>
        <v>0.85370747743242703</v>
      </c>
      <c r="D294">
        <f t="shared" si="14"/>
        <v>0.52075286170693491</v>
      </c>
    </row>
    <row r="295" spans="1:4" x14ac:dyDescent="0.3">
      <c r="A295">
        <v>295</v>
      </c>
      <c r="B295">
        <f t="shared" si="12"/>
        <v>0.56032414062023328</v>
      </c>
      <c r="C295">
        <f t="shared" si="13"/>
        <v>0.84708288748344174</v>
      </c>
      <c r="D295">
        <f t="shared" si="14"/>
        <v>0.53146079980814653</v>
      </c>
    </row>
    <row r="296" spans="1:4" x14ac:dyDescent="0.3">
      <c r="A296">
        <v>296</v>
      </c>
      <c r="B296">
        <f t="shared" si="12"/>
        <v>0.57291569434203593</v>
      </c>
      <c r="C296">
        <f t="shared" si="13"/>
        <v>0.84032399666762514</v>
      </c>
      <c r="D296">
        <f t="shared" si="14"/>
        <v>0.54208447738756471</v>
      </c>
    </row>
    <row r="297" spans="1:4" x14ac:dyDescent="0.3">
      <c r="A297">
        <v>297</v>
      </c>
      <c r="B297">
        <f t="shared" si="12"/>
        <v>0.58550724806383858</v>
      </c>
      <c r="C297">
        <f t="shared" si="13"/>
        <v>0.83343187657420248</v>
      </c>
      <c r="D297">
        <f t="shared" si="14"/>
        <v>0.55262221011284307</v>
      </c>
    </row>
    <row r="298" spans="1:4" x14ac:dyDescent="0.3">
      <c r="A298">
        <v>298</v>
      </c>
      <c r="B298">
        <f t="shared" si="12"/>
        <v>0.59809880178564168</v>
      </c>
      <c r="C298">
        <f t="shared" si="13"/>
        <v>0.82640761991525236</v>
      </c>
      <c r="D298">
        <f t="shared" si="14"/>
        <v>0.56307232727777323</v>
      </c>
    </row>
    <row r="299" spans="1:4" x14ac:dyDescent="0.3">
      <c r="A299">
        <v>299</v>
      </c>
      <c r="B299">
        <f t="shared" si="12"/>
        <v>0.61069035550744433</v>
      </c>
      <c r="C299">
        <f t="shared" si="13"/>
        <v>0.81925234035246286</v>
      </c>
      <c r="D299">
        <f t="shared" si="14"/>
        <v>0.57343317206716626</v>
      </c>
    </row>
    <row r="300" spans="1:4" x14ac:dyDescent="0.3">
      <c r="A300">
        <v>300</v>
      </c>
      <c r="B300">
        <f t="shared" si="12"/>
        <v>0.62328190922924698</v>
      </c>
      <c r="C300">
        <f t="shared" si="13"/>
        <v>0.81196717232056503</v>
      </c>
      <c r="D300">
        <f t="shared" si="14"/>
        <v>0.58370310181953444</v>
      </c>
    </row>
    <row r="301" spans="1:4" x14ac:dyDescent="0.3">
      <c r="A301">
        <v>301</v>
      </c>
      <c r="B301">
        <f t="shared" si="12"/>
        <v>0.63587346295105007</v>
      </c>
      <c r="C301">
        <f t="shared" si="13"/>
        <v>0.80455327084747397</v>
      </c>
      <c r="D301">
        <f t="shared" si="14"/>
        <v>0.59388048828752671</v>
      </c>
    </row>
    <row r="302" spans="1:4" x14ac:dyDescent="0.3">
      <c r="A302">
        <v>302</v>
      </c>
      <c r="B302">
        <f t="shared" si="12"/>
        <v>0.64846501667285272</v>
      </c>
      <c r="C302">
        <f t="shared" si="13"/>
        <v>0.79701181137116583</v>
      </c>
      <c r="D302">
        <f t="shared" si="14"/>
        <v>0.60396371789607795</v>
      </c>
    </row>
    <row r="303" spans="1:4" x14ac:dyDescent="0.3">
      <c r="A303">
        <v>303</v>
      </c>
      <c r="B303">
        <f t="shared" si="12"/>
        <v>0.66105657039465537</v>
      </c>
      <c r="C303">
        <f t="shared" si="13"/>
        <v>0.78934398955331608</v>
      </c>
      <c r="D303">
        <f t="shared" si="14"/>
        <v>0.61395119199823567</v>
      </c>
    </row>
    <row r="304" spans="1:4" x14ac:dyDescent="0.3">
      <c r="A304">
        <v>304</v>
      </c>
      <c r="B304">
        <f t="shared" si="12"/>
        <v>0.67364812411645847</v>
      </c>
      <c r="C304">
        <f t="shared" si="13"/>
        <v>0.7815510210897344</v>
      </c>
      <c r="D304">
        <f t="shared" si="14"/>
        <v>0.62384132712861662</v>
      </c>
    </row>
    <row r="305" spans="1:4" x14ac:dyDescent="0.3">
      <c r="A305">
        <v>305</v>
      </c>
      <c r="B305">
        <f t="shared" si="12"/>
        <v>0.68623967783826112</v>
      </c>
      <c r="C305">
        <f t="shared" si="13"/>
        <v>0.77363414151762222</v>
      </c>
      <c r="D305">
        <f t="shared" si="14"/>
        <v>0.63363255525445639</v>
      </c>
    </row>
    <row r="306" spans="1:4" x14ac:dyDescent="0.3">
      <c r="A306">
        <v>306</v>
      </c>
      <c r="B306">
        <f t="shared" si="12"/>
        <v>0.69883123156006377</v>
      </c>
      <c r="C306">
        <f t="shared" si="13"/>
        <v>0.76559460601968321</v>
      </c>
      <c r="D306">
        <f t="shared" si="14"/>
        <v>0.64332332402421566</v>
      </c>
    </row>
    <row r="307" spans="1:4" x14ac:dyDescent="0.3">
      <c r="A307">
        <v>307</v>
      </c>
      <c r="B307">
        <f t="shared" si="12"/>
        <v>0.71142278528186687</v>
      </c>
      <c r="C307">
        <f t="shared" si="13"/>
        <v>0.75743368922512078</v>
      </c>
      <c r="D307">
        <f t="shared" si="14"/>
        <v>0.65291209701369679</v>
      </c>
    </row>
    <row r="308" spans="1:4" x14ac:dyDescent="0.3">
      <c r="A308">
        <v>308</v>
      </c>
      <c r="B308">
        <f t="shared" si="12"/>
        <v>0.72401433900366952</v>
      </c>
      <c r="C308">
        <f t="shared" si="13"/>
        <v>0.74915268500755272</v>
      </c>
      <c r="D308">
        <f t="shared" si="14"/>
        <v>0.66239735396963551</v>
      </c>
    </row>
    <row r="309" spans="1:4" x14ac:dyDescent="0.3">
      <c r="A309">
        <v>309</v>
      </c>
      <c r="B309">
        <f t="shared" si="12"/>
        <v>0.73660589272547217</v>
      </c>
      <c r="C309">
        <f t="shared" si="13"/>
        <v>0.74075290627987178</v>
      </c>
      <c r="D309">
        <f t="shared" si="14"/>
        <v>0.6717775910507312</v>
      </c>
    </row>
    <row r="310" spans="1:4" x14ac:dyDescent="0.3">
      <c r="A310">
        <v>310</v>
      </c>
      <c r="B310">
        <f t="shared" si="12"/>
        <v>0.74919744644727526</v>
      </c>
      <c r="C310">
        <f t="shared" si="13"/>
        <v>0.73223568478609136</v>
      </c>
      <c r="D310">
        <f t="shared" si="14"/>
        <v>0.68105132106607336</v>
      </c>
    </row>
    <row r="311" spans="1:4" x14ac:dyDescent="0.3">
      <c r="A311">
        <v>311</v>
      </c>
      <c r="B311">
        <f t="shared" si="12"/>
        <v>0.76178900016907791</v>
      </c>
      <c r="C311">
        <f t="shared" si="13"/>
        <v>0.72360237089020418</v>
      </c>
      <c r="D311">
        <f t="shared" si="14"/>
        <v>0.69021707371092711</v>
      </c>
    </row>
    <row r="312" spans="1:4" x14ac:dyDescent="0.3">
      <c r="A312">
        <v>312</v>
      </c>
      <c r="B312">
        <f t="shared" si="12"/>
        <v>0.77438055389088056</v>
      </c>
      <c r="C312">
        <f t="shared" si="13"/>
        <v>0.71485433336208692</v>
      </c>
      <c r="D312">
        <f t="shared" si="14"/>
        <v>0.69927339579984471</v>
      </c>
    </row>
    <row r="313" spans="1:4" x14ac:dyDescent="0.3">
      <c r="A313">
        <v>313</v>
      </c>
      <c r="B313">
        <f t="shared" si="12"/>
        <v>0.78697210761268366</v>
      </c>
      <c r="C313">
        <f t="shared" si="13"/>
        <v>0.70599295916048987</v>
      </c>
      <c r="D313">
        <f t="shared" si="14"/>
        <v>0.7082188514970601</v>
      </c>
    </row>
    <row r="314" spans="1:4" x14ac:dyDescent="0.3">
      <c r="A314">
        <v>314</v>
      </c>
      <c r="B314">
        <f t="shared" si="12"/>
        <v>0.79956366133448631</v>
      </c>
      <c r="C314">
        <f t="shared" si="13"/>
        <v>0.69701965321314163</v>
      </c>
      <c r="D314">
        <f t="shared" si="14"/>
        <v>0.71705202254413303</v>
      </c>
    </row>
    <row r="315" spans="1:4" x14ac:dyDescent="0.3">
      <c r="A315">
        <v>315</v>
      </c>
      <c r="B315">
        <f t="shared" si="12"/>
        <v>0.81215521505628896</v>
      </c>
      <c r="C315">
        <f t="shared" si="13"/>
        <v>0.68793583819400306</v>
      </c>
      <c r="D315">
        <f t="shared" si="14"/>
        <v>0.72577150848480843</v>
      </c>
    </row>
    <row r="316" spans="1:4" x14ac:dyDescent="0.3">
      <c r="A316">
        <v>316</v>
      </c>
      <c r="B316">
        <f t="shared" si="12"/>
        <v>0.82474676877809205</v>
      </c>
      <c r="C316">
        <f t="shared" si="13"/>
        <v>0.67874295429771048</v>
      </c>
      <c r="D316">
        <f t="shared" si="14"/>
        <v>0.73437592688705156</v>
      </c>
    </row>
    <row r="317" spans="1:4" x14ac:dyDescent="0.3">
      <c r="A317">
        <v>317</v>
      </c>
      <c r="B317">
        <f t="shared" si="12"/>
        <v>0.8373383224998947</v>
      </c>
      <c r="C317">
        <f t="shared" si="13"/>
        <v>0.66944245901124033</v>
      </c>
      <c r="D317">
        <f t="shared" si="14"/>
        <v>0.74286391356222425</v>
      </c>
    </row>
    <row r="318" spans="1:4" x14ac:dyDescent="0.3">
      <c r="A318">
        <v>318</v>
      </c>
      <c r="B318">
        <f t="shared" si="12"/>
        <v>0.84992987622169736</v>
      </c>
      <c r="C318">
        <f t="shared" si="13"/>
        <v>0.66003582688283002</v>
      </c>
      <c r="D318">
        <f t="shared" si="14"/>
        <v>0.75123412278137291</v>
      </c>
    </row>
    <row r="319" spans="1:4" x14ac:dyDescent="0.3">
      <c r="A319">
        <v>319</v>
      </c>
      <c r="B319">
        <f t="shared" si="12"/>
        <v>0.86252142994350001</v>
      </c>
      <c r="C319">
        <f t="shared" si="13"/>
        <v>0.65052454928819659</v>
      </c>
      <c r="D319">
        <f t="shared" si="14"/>
        <v>0.7594852274885856</v>
      </c>
    </row>
    <row r="320" spans="1:4" x14ac:dyDescent="0.3">
      <c r="A320">
        <v>320</v>
      </c>
      <c r="B320">
        <f t="shared" si="12"/>
        <v>0.8751129836653031</v>
      </c>
      <c r="C320">
        <f t="shared" si="13"/>
        <v>0.64091013419408605</v>
      </c>
      <c r="D320">
        <f t="shared" si="14"/>
        <v>0.76761591951139119</v>
      </c>
    </row>
    <row r="321" spans="1:4" x14ac:dyDescent="0.3">
      <c r="A321">
        <v>321</v>
      </c>
      <c r="B321">
        <f t="shared" ref="B321:B384" si="15">-3.14159265358979+(A321-1)*0.0125915537218028</f>
        <v>0.8877045373871062</v>
      </c>
      <c r="C321">
        <f t="shared" ref="C321:C384" si="16">1*COS(B321)+0</f>
        <v>0.63119410591919323</v>
      </c>
      <c r="D321">
        <f t="shared" ref="D321:D384" si="17">1*SIN(B321)+0+0*COS(B321)</f>
        <v>0.77562490976816245</v>
      </c>
    </row>
    <row r="322" spans="1:4" x14ac:dyDescent="0.3">
      <c r="A322">
        <v>322</v>
      </c>
      <c r="B322">
        <f t="shared" si="15"/>
        <v>0.9002960911089084</v>
      </c>
      <c r="C322">
        <f t="shared" si="16"/>
        <v>0.6213780048924884</v>
      </c>
      <c r="D322">
        <f t="shared" si="17"/>
        <v>0.78351092847249459</v>
      </c>
    </row>
    <row r="323" spans="1:4" x14ac:dyDescent="0.3">
      <c r="A323">
        <v>323</v>
      </c>
      <c r="B323">
        <f t="shared" si="15"/>
        <v>0.9128876448307115</v>
      </c>
      <c r="C323">
        <f t="shared" si="16"/>
        <v>0.6114633874089872</v>
      </c>
      <c r="D323">
        <f t="shared" si="17"/>
        <v>0.79127272533452508</v>
      </c>
    </row>
    <row r="324" spans="1:4" x14ac:dyDescent="0.3">
      <c r="A324">
        <v>324</v>
      </c>
      <c r="B324">
        <f t="shared" si="15"/>
        <v>0.92547919855251459</v>
      </c>
      <c r="C324">
        <f t="shared" si="16"/>
        <v>0.60145182538301178</v>
      </c>
      <c r="D324">
        <f t="shared" si="17"/>
        <v>0.79890906975915799</v>
      </c>
    </row>
    <row r="325" spans="1:4" x14ac:dyDescent="0.3">
      <c r="A325">
        <v>325</v>
      </c>
      <c r="B325">
        <f t="shared" si="15"/>
        <v>0.9380707522743168</v>
      </c>
      <c r="C325">
        <f t="shared" si="16"/>
        <v>0.5913449060989695</v>
      </c>
      <c r="D325">
        <f t="shared" si="17"/>
        <v>0.80641875104117022</v>
      </c>
    </row>
    <row r="326" spans="1:4" x14ac:dyDescent="0.3">
      <c r="A326">
        <v>326</v>
      </c>
      <c r="B326">
        <f t="shared" si="15"/>
        <v>0.95066230599611989</v>
      </c>
      <c r="C326">
        <f t="shared" si="16"/>
        <v>0.58114423195969445</v>
      </c>
      <c r="D326">
        <f t="shared" si="17"/>
        <v>0.81380057855716526</v>
      </c>
    </row>
    <row r="327" spans="1:4" x14ac:dyDescent="0.3">
      <c r="A327">
        <v>327</v>
      </c>
      <c r="B327">
        <f t="shared" si="15"/>
        <v>0.96325385971792299</v>
      </c>
      <c r="C327">
        <f t="shared" si="16"/>
        <v>0.57085142023239865</v>
      </c>
      <c r="D327">
        <f t="shared" si="17"/>
        <v>0.8210533819543363</v>
      </c>
    </row>
    <row r="328" spans="1:4" x14ac:dyDescent="0.3">
      <c r="A328">
        <v>328</v>
      </c>
      <c r="B328">
        <f t="shared" si="15"/>
        <v>0.9758454134397252</v>
      </c>
      <c r="C328">
        <f t="shared" si="16"/>
        <v>0.56046810279226011</v>
      </c>
      <c r="D328">
        <f t="shared" si="17"/>
        <v>0.82817601133602303</v>
      </c>
    </row>
    <row r="329" spans="1:4" x14ac:dyDescent="0.3">
      <c r="A329">
        <v>329</v>
      </c>
      <c r="B329">
        <f t="shared" si="15"/>
        <v>0.98843696716152829</v>
      </c>
      <c r="C329">
        <f t="shared" si="16"/>
        <v>0.5499959258636945</v>
      </c>
      <c r="D329">
        <f t="shared" si="17"/>
        <v>0.83516733744402227</v>
      </c>
    </row>
    <row r="330" spans="1:4" x14ac:dyDescent="0.3">
      <c r="A330">
        <v>330</v>
      </c>
      <c r="B330">
        <f t="shared" si="15"/>
        <v>1.0010285208833314</v>
      </c>
      <c r="C330">
        <f t="shared" si="16"/>
        <v>0.53943654975935906</v>
      </c>
      <c r="D330">
        <f t="shared" si="17"/>
        <v>0.84202625183762447</v>
      </c>
    </row>
    <row r="331" spans="1:4" x14ac:dyDescent="0.3">
      <c r="A331">
        <v>331</v>
      </c>
      <c r="B331">
        <f t="shared" si="15"/>
        <v>1.0136200746051336</v>
      </c>
      <c r="C331">
        <f t="shared" si="16"/>
        <v>0.52879164861691552</v>
      </c>
      <c r="D331">
        <f t="shared" si="17"/>
        <v>0.84875166706935223</v>
      </c>
    </row>
    <row r="332" spans="1:4" x14ac:dyDescent="0.3">
      <c r="A332">
        <v>332</v>
      </c>
      <c r="B332">
        <f t="shared" si="15"/>
        <v>1.0262116283269367</v>
      </c>
      <c r="C332">
        <f t="shared" si="16"/>
        <v>0.51806291013360184</v>
      </c>
      <c r="D332">
        <f t="shared" si="17"/>
        <v>0.85534251685737195</v>
      </c>
    </row>
    <row r="333" spans="1:4" x14ac:dyDescent="0.3">
      <c r="A333">
        <v>333</v>
      </c>
      <c r="B333">
        <f t="shared" si="15"/>
        <v>1.0388031820487398</v>
      </c>
      <c r="C333">
        <f t="shared" si="16"/>
        <v>0.50725203529866036</v>
      </c>
      <c r="D333">
        <f t="shared" si="17"/>
        <v>0.86179775625454413</v>
      </c>
    </row>
    <row r="334" spans="1:4" x14ac:dyDescent="0.3">
      <c r="A334">
        <v>334</v>
      </c>
      <c r="B334">
        <f t="shared" si="15"/>
        <v>1.051394735770542</v>
      </c>
      <c r="C334">
        <f t="shared" si="16"/>
        <v>0.496360738123652</v>
      </c>
      <c r="D334">
        <f t="shared" si="17"/>
        <v>0.86811636181409657</v>
      </c>
    </row>
    <row r="335" spans="1:4" x14ac:dyDescent="0.3">
      <c r="A335">
        <v>335</v>
      </c>
      <c r="B335">
        <f t="shared" si="15"/>
        <v>1.0639862894923451</v>
      </c>
      <c r="C335">
        <f t="shared" si="16"/>
        <v>0.48539074537070576</v>
      </c>
      <c r="D335">
        <f t="shared" si="17"/>
        <v>0.87429733175188784</v>
      </c>
    </row>
    <row r="336" spans="1:4" x14ac:dyDescent="0.3">
      <c r="A336">
        <v>336</v>
      </c>
      <c r="B336">
        <f t="shared" si="15"/>
        <v>1.0765778432141482</v>
      </c>
      <c r="C336">
        <f t="shared" si="16"/>
        <v>0.4743437962787535</v>
      </c>
      <c r="D336">
        <f t="shared" si="17"/>
        <v>0.88033968610523317</v>
      </c>
    </row>
    <row r="337" spans="1:4" x14ac:dyDescent="0.3">
      <c r="A337">
        <v>337</v>
      </c>
      <c r="B337">
        <f t="shared" si="15"/>
        <v>1.0891693969359504</v>
      </c>
      <c r="C337">
        <f t="shared" si="16"/>
        <v>0.46322164228778012</v>
      </c>
      <c r="D337">
        <f t="shared" si="17"/>
        <v>0.88624246688827313</v>
      </c>
    </row>
    <row r="338" spans="1:4" x14ac:dyDescent="0.3">
      <c r="A338">
        <v>338</v>
      </c>
      <c r="B338">
        <f t="shared" si="15"/>
        <v>1.1017609506577535</v>
      </c>
      <c r="C338">
        <f t="shared" si="16"/>
        <v>0.4520260467611385</v>
      </c>
      <c r="D338">
        <f t="shared" si="17"/>
        <v>0.89200473824385995</v>
      </c>
    </row>
    <row r="339" spans="1:4" x14ac:dyDescent="0.3">
      <c r="A339">
        <v>339</v>
      </c>
      <c r="B339">
        <f t="shared" si="15"/>
        <v>1.1143525043795566</v>
      </c>
      <c r="C339">
        <f t="shared" si="16"/>
        <v>0.44075878470598173</v>
      </c>
      <c r="D339">
        <f t="shared" si="17"/>
        <v>0.89762558659192981</v>
      </c>
    </row>
    <row r="340" spans="1:4" x14ac:dyDescent="0.3">
      <c r="A340">
        <v>340</v>
      </c>
      <c r="B340">
        <f t="shared" si="15"/>
        <v>1.1269440581013588</v>
      </c>
      <c r="C340">
        <f t="shared" si="16"/>
        <v>0.42942164249184217</v>
      </c>
      <c r="D340">
        <f t="shared" si="17"/>
        <v>0.90310412077434821</v>
      </c>
    </row>
    <row r="341" spans="1:4" x14ac:dyDescent="0.3">
      <c r="A341">
        <v>341</v>
      </c>
      <c r="B341">
        <f t="shared" si="15"/>
        <v>1.1395356118231619</v>
      </c>
      <c r="C341">
        <f t="shared" si="16"/>
        <v>0.41801641756740859</v>
      </c>
      <c r="D341">
        <f t="shared" si="17"/>
        <v>0.90843947219619969</v>
      </c>
    </row>
    <row r="342" spans="1:4" x14ac:dyDescent="0.3">
      <c r="A342">
        <v>342</v>
      </c>
      <c r="B342">
        <f t="shared" si="15"/>
        <v>1.152127165544965</v>
      </c>
      <c r="C342">
        <f t="shared" si="16"/>
        <v>0.40654491817555433</v>
      </c>
      <c r="D342">
        <f t="shared" si="17"/>
        <v>0.91363079496349719</v>
      </c>
    </row>
    <row r="343" spans="1:4" x14ac:dyDescent="0.3">
      <c r="A343">
        <v>343</v>
      </c>
      <c r="B343">
        <f t="shared" si="15"/>
        <v>1.1647187192667672</v>
      </c>
      <c r="C343">
        <f t="shared" si="16"/>
        <v>0.39500896306664679</v>
      </c>
      <c r="D343">
        <f t="shared" si="17"/>
        <v>0.91867726601729538</v>
      </c>
    </row>
    <row r="344" spans="1:4" x14ac:dyDescent="0.3">
      <c r="A344">
        <v>344</v>
      </c>
      <c r="B344">
        <f t="shared" si="15"/>
        <v>1.1773102729885703</v>
      </c>
      <c r="C344">
        <f t="shared" si="16"/>
        <v>0.38341038121019116</v>
      </c>
      <c r="D344">
        <f t="shared" si="17"/>
        <v>0.92357808526418372</v>
      </c>
    </row>
    <row r="345" spans="1:4" x14ac:dyDescent="0.3">
      <c r="A345">
        <v>345</v>
      </c>
      <c r="B345">
        <f t="shared" si="15"/>
        <v>1.1899018267103734</v>
      </c>
      <c r="C345">
        <f t="shared" si="16"/>
        <v>0.37175101150486073</v>
      </c>
      <c r="D345">
        <f t="shared" si="17"/>
        <v>0.9283324757031356</v>
      </c>
    </row>
    <row r="346" spans="1:4" x14ac:dyDescent="0.3">
      <c r="A346">
        <v>346</v>
      </c>
      <c r="B346">
        <f t="shared" si="15"/>
        <v>1.2024933804321756</v>
      </c>
      <c r="C346">
        <f t="shared" si="16"/>
        <v>0.3600327024869463</v>
      </c>
      <c r="D346">
        <f t="shared" si="17"/>
        <v>0.93293968354869872</v>
      </c>
    </row>
    <row r="347" spans="1:4" x14ac:dyDescent="0.3">
      <c r="A347">
        <v>347</v>
      </c>
      <c r="B347">
        <f t="shared" si="15"/>
        <v>1.2150849341539787</v>
      </c>
      <c r="C347">
        <f t="shared" si="16"/>
        <v>0.34825731203727722</v>
      </c>
      <c r="D347">
        <f t="shared" si="17"/>
        <v>0.93739897835050501</v>
      </c>
    </row>
    <row r="348" spans="1:4" x14ac:dyDescent="0.3">
      <c r="A348">
        <v>348</v>
      </c>
      <c r="B348">
        <f t="shared" si="15"/>
        <v>1.2276764878757818</v>
      </c>
      <c r="C348">
        <f t="shared" si="16"/>
        <v>0.33642670708666833</v>
      </c>
      <c r="D348">
        <f t="shared" si="17"/>
        <v>0.9417096531090785</v>
      </c>
    </row>
    <row r="349" spans="1:4" x14ac:dyDescent="0.3">
      <c r="A349">
        <v>349</v>
      </c>
      <c r="B349">
        <f t="shared" si="15"/>
        <v>1.240268041597584</v>
      </c>
      <c r="C349">
        <f t="shared" si="16"/>
        <v>0.32454276331992477</v>
      </c>
      <c r="D349">
        <f t="shared" si="17"/>
        <v>0.94587102438792747</v>
      </c>
    </row>
    <row r="350" spans="1:4" x14ac:dyDescent="0.3">
      <c r="A350">
        <v>350</v>
      </c>
      <c r="B350">
        <f t="shared" si="15"/>
        <v>1.2528595953193871</v>
      </c>
      <c r="C350">
        <f t="shared" si="16"/>
        <v>0.31260736487845869</v>
      </c>
      <c r="D350">
        <f t="shared" si="17"/>
        <v>0.9498824324219004</v>
      </c>
    </row>
    <row r="351" spans="1:4" x14ac:dyDescent="0.3">
      <c r="A351">
        <v>351</v>
      </c>
      <c r="B351">
        <f t="shared" si="15"/>
        <v>1.2654511490411902</v>
      </c>
      <c r="C351">
        <f t="shared" si="16"/>
        <v>0.30062240406157281</v>
      </c>
      <c r="D351">
        <f t="shared" si="17"/>
        <v>0.95374324122178733</v>
      </c>
    </row>
    <row r="352" spans="1:4" x14ac:dyDescent="0.3">
      <c r="A352">
        <v>352</v>
      </c>
      <c r="B352">
        <f t="shared" si="15"/>
        <v>1.2780427027629924</v>
      </c>
      <c r="C352">
        <f t="shared" si="16"/>
        <v>0.28858978102644323</v>
      </c>
      <c r="D352">
        <f t="shared" si="17"/>
        <v>0.95745283867515352</v>
      </c>
    </row>
    <row r="353" spans="1:4" x14ac:dyDescent="0.3">
      <c r="A353">
        <v>353</v>
      </c>
      <c r="B353">
        <f t="shared" si="15"/>
        <v>1.2906342564847955</v>
      </c>
      <c r="C353">
        <f t="shared" si="16"/>
        <v>0.27651140348685604</v>
      </c>
      <c r="D353">
        <f t="shared" si="17"/>
        <v>0.96101063664338759</v>
      </c>
    </row>
    <row r="354" spans="1:4" x14ac:dyDescent="0.3">
      <c r="A354">
        <v>354</v>
      </c>
      <c r="B354">
        <f t="shared" si="15"/>
        <v>1.3032258102065986</v>
      </c>
      <c r="C354">
        <f t="shared" si="16"/>
        <v>0.26438918641075382</v>
      </c>
      <c r="D354">
        <f t="shared" si="17"/>
        <v>0.96441607105494653</v>
      </c>
    </row>
    <row r="355" spans="1:4" x14ac:dyDescent="0.3">
      <c r="A355">
        <v>355</v>
      </c>
      <c r="B355">
        <f t="shared" si="15"/>
        <v>1.3158173639284008</v>
      </c>
      <c r="C355">
        <f t="shared" si="16"/>
        <v>0.25222505171662413</v>
      </c>
      <c r="D355">
        <f t="shared" si="17"/>
        <v>0.96766860199478744</v>
      </c>
    </row>
    <row r="356" spans="1:4" x14ac:dyDescent="0.3">
      <c r="A356">
        <v>356</v>
      </c>
      <c r="B356">
        <f t="shared" si="15"/>
        <v>1.3284089176502039</v>
      </c>
      <c r="C356">
        <f t="shared" si="16"/>
        <v>0.24002092796878616</v>
      </c>
      <c r="D356">
        <f t="shared" si="17"/>
        <v>0.97076771378996884</v>
      </c>
    </row>
    <row r="357" spans="1:4" x14ac:dyDescent="0.3">
      <c r="A357">
        <v>357</v>
      </c>
      <c r="B357">
        <f t="shared" si="15"/>
        <v>1.341000471372007</v>
      </c>
      <c r="C357">
        <f t="shared" si="16"/>
        <v>0.22777875007163151</v>
      </c>
      <c r="D357">
        <f t="shared" si="17"/>
        <v>0.97371291509140678</v>
      </c>
    </row>
    <row r="358" spans="1:4" x14ac:dyDescent="0.3">
      <c r="A358">
        <v>358</v>
      </c>
      <c r="B358">
        <f t="shared" si="15"/>
        <v>1.3535920250938092</v>
      </c>
      <c r="C358">
        <f t="shared" si="16"/>
        <v>0.21550045896285175</v>
      </c>
      <c r="D358">
        <f t="shared" si="17"/>
        <v>0.976503738951777</v>
      </c>
    </row>
    <row r="359" spans="1:4" x14ac:dyDescent="0.3">
      <c r="A359">
        <v>359</v>
      </c>
      <c r="B359">
        <f t="shared" si="15"/>
        <v>1.3661835788156123</v>
      </c>
      <c r="C359">
        <f t="shared" si="16"/>
        <v>0.20318800130570971</v>
      </c>
      <c r="D359">
        <f t="shared" si="17"/>
        <v>0.97913974289954697</v>
      </c>
    </row>
    <row r="360" spans="1:4" x14ac:dyDescent="0.3">
      <c r="A360">
        <v>360</v>
      </c>
      <c r="B360">
        <f t="shared" si="15"/>
        <v>1.3787751325374153</v>
      </c>
      <c r="C360">
        <f t="shared" si="16"/>
        <v>0.19084332918041072</v>
      </c>
      <c r="D360">
        <f t="shared" si="17"/>
        <v>0.9816205090091269</v>
      </c>
    </row>
    <row r="361" spans="1:4" x14ac:dyDescent="0.3">
      <c r="A361">
        <v>361</v>
      </c>
      <c r="B361">
        <f t="shared" si="15"/>
        <v>1.3913666862592176</v>
      </c>
      <c r="C361">
        <f t="shared" si="16"/>
        <v>0.17846839977460716</v>
      </c>
      <c r="D361">
        <f t="shared" si="17"/>
        <v>0.98394564396713047</v>
      </c>
    </row>
    <row r="362" spans="1:4" x14ac:dyDescent="0.3">
      <c r="A362">
        <v>362</v>
      </c>
      <c r="B362">
        <f t="shared" si="15"/>
        <v>1.4039582399810207</v>
      </c>
      <c r="C362">
        <f t="shared" si="16"/>
        <v>0.16606517507309324</v>
      </c>
      <c r="D362">
        <f t="shared" si="17"/>
        <v>0.98611477913473278</v>
      </c>
    </row>
    <row r="363" spans="1:4" x14ac:dyDescent="0.3">
      <c r="A363">
        <v>363</v>
      </c>
      <c r="B363">
        <f t="shared" si="15"/>
        <v>1.4165497937028237</v>
      </c>
      <c r="C363">
        <f t="shared" si="16"/>
        <v>0.15363562154674718</v>
      </c>
      <c r="D363">
        <f t="shared" si="17"/>
        <v>0.988127570606116</v>
      </c>
    </row>
    <row r="364" spans="1:4" x14ac:dyDescent="0.3">
      <c r="A364">
        <v>364</v>
      </c>
      <c r="B364">
        <f t="shared" si="15"/>
        <v>1.429141347424626</v>
      </c>
      <c r="C364">
        <f t="shared" si="16"/>
        <v>0.14118170984075415</v>
      </c>
      <c r="D364">
        <f t="shared" si="17"/>
        <v>0.98998369926299346</v>
      </c>
    </row>
    <row r="365" spans="1:4" x14ac:dyDescent="0.3">
      <c r="A365">
        <v>365</v>
      </c>
      <c r="B365">
        <f t="shared" si="15"/>
        <v>1.441732901146429</v>
      </c>
      <c r="C365">
        <f t="shared" si="16"/>
        <v>0.12870541446216746</v>
      </c>
      <c r="D365">
        <f t="shared" si="17"/>
        <v>0.99168287082520579</v>
      </c>
    </row>
    <row r="366" spans="1:4" x14ac:dyDescent="0.3">
      <c r="A366">
        <v>366</v>
      </c>
      <c r="B366">
        <f t="shared" si="15"/>
        <v>1.4543244548682321</v>
      </c>
      <c r="C366">
        <f t="shared" si="16"/>
        <v>0.11620871346686536</v>
      </c>
      <c r="D366">
        <f t="shared" si="17"/>
        <v>0.99322481589737577</v>
      </c>
    </row>
    <row r="367" spans="1:4" x14ac:dyDescent="0.3">
      <c r="A367">
        <v>367</v>
      </c>
      <c r="B367">
        <f t="shared" si="15"/>
        <v>1.4669160085900343</v>
      </c>
      <c r="C367">
        <f t="shared" si="16"/>
        <v>0.10369358814593721</v>
      </c>
      <c r="D367">
        <f t="shared" si="17"/>
        <v>0.99460929001162102</v>
      </c>
    </row>
    <row r="368" spans="1:4" x14ac:dyDescent="0.3">
      <c r="A368">
        <v>368</v>
      </c>
      <c r="B368">
        <f t="shared" si="15"/>
        <v>1.4795075623118374</v>
      </c>
      <c r="C368">
        <f t="shared" si="16"/>
        <v>9.1162022711556878E-2</v>
      </c>
      <c r="D368">
        <f t="shared" si="17"/>
        <v>0.99583607366631266</v>
      </c>
    </row>
    <row r="369" spans="1:4" x14ac:dyDescent="0.3">
      <c r="A369">
        <v>369</v>
      </c>
      <c r="B369">
        <f t="shared" si="15"/>
        <v>1.4920991160336405</v>
      </c>
      <c r="C369">
        <f t="shared" si="16"/>
        <v>7.8616003982400817E-2</v>
      </c>
      <c r="D369">
        <f t="shared" si="17"/>
        <v>0.99690497236087605</v>
      </c>
    </row>
    <row r="370" spans="1:4" x14ac:dyDescent="0.3">
      <c r="A370">
        <v>370</v>
      </c>
      <c r="B370">
        <f t="shared" si="15"/>
        <v>1.5046906697554427</v>
      </c>
      <c r="C370">
        <f t="shared" si="16"/>
        <v>6.6057521068644959E-2</v>
      </c>
      <c r="D370">
        <f t="shared" si="17"/>
        <v>0.99781581662662855</v>
      </c>
    </row>
    <row r="371" spans="1:4" x14ac:dyDescent="0.3">
      <c r="A371">
        <v>371</v>
      </c>
      <c r="B371">
        <f t="shared" si="15"/>
        <v>1.5172822234772458</v>
      </c>
      <c r="C371">
        <f t="shared" si="16"/>
        <v>5.3488565056598353E-2</v>
      </c>
      <c r="D371">
        <f t="shared" si="17"/>
        <v>0.99856846205364713</v>
      </c>
    </row>
    <row r="372" spans="1:4" x14ac:dyDescent="0.3">
      <c r="A372">
        <v>372</v>
      </c>
      <c r="B372">
        <f t="shared" si="15"/>
        <v>1.5298737771990489</v>
      </c>
      <c r="C372">
        <f t="shared" si="16"/>
        <v>4.091112869303147E-2</v>
      </c>
      <c r="D372">
        <f t="shared" si="17"/>
        <v>0.99916278931366442</v>
      </c>
    </row>
    <row r="373" spans="1:4" x14ac:dyDescent="0.3">
      <c r="A373">
        <v>373</v>
      </c>
      <c r="B373">
        <f t="shared" si="15"/>
        <v>1.5424653309208511</v>
      </c>
      <c r="C373">
        <f t="shared" si="16"/>
        <v>2.8327206069233189E-2</v>
      </c>
      <c r="D373">
        <f t="shared" si="17"/>
        <v>0.99959870417898766</v>
      </c>
    </row>
    <row r="374" spans="1:4" x14ac:dyDescent="0.3">
      <c r="A374">
        <v>374</v>
      </c>
      <c r="B374">
        <f t="shared" si="15"/>
        <v>1.5550568846426542</v>
      </c>
      <c r="C374">
        <f t="shared" si="16"/>
        <v>1.5738792304854712E-2</v>
      </c>
      <c r="D374">
        <f t="shared" si="17"/>
        <v>0.99987613753743754</v>
      </c>
    </row>
    <row r="375" spans="1:4" x14ac:dyDescent="0.3">
      <c r="A375">
        <v>375</v>
      </c>
      <c r="B375">
        <f t="shared" si="15"/>
        <v>1.5676484383644573</v>
      </c>
      <c r="C375">
        <f t="shared" si="16"/>
        <v>3.1478832315983678E-3</v>
      </c>
      <c r="D375">
        <f t="shared" si="17"/>
        <v>0.99999504540330608</v>
      </c>
    </row>
    <row r="376" spans="1:4" x14ac:dyDescent="0.3">
      <c r="A376">
        <v>376</v>
      </c>
      <c r="B376">
        <f t="shared" si="15"/>
        <v>1.5802399920862595</v>
      </c>
      <c r="C376">
        <f t="shared" si="16"/>
        <v>-9.4435249232144355E-3</v>
      </c>
      <c r="D376">
        <f t="shared" si="17"/>
        <v>0.99995540892433032</v>
      </c>
    </row>
    <row r="377" spans="1:4" x14ac:dyDescent="0.3">
      <c r="A377">
        <v>377</v>
      </c>
      <c r="B377">
        <f t="shared" si="15"/>
        <v>1.5928315458080626</v>
      </c>
      <c r="C377">
        <f t="shared" si="16"/>
        <v>-2.2033435853138009E-2</v>
      </c>
      <c r="D377">
        <f t="shared" si="17"/>
        <v>0.99975723438468078</v>
      </c>
    </row>
    <row r="378" spans="1:4" x14ac:dyDescent="0.3">
      <c r="A378">
        <v>378</v>
      </c>
      <c r="B378">
        <f t="shared" si="15"/>
        <v>1.6054230995298657</v>
      </c>
      <c r="C378">
        <f t="shared" si="16"/>
        <v>-3.461985348910171E-2</v>
      </c>
      <c r="D378">
        <f t="shared" si="17"/>
        <v>0.99940055320396592</v>
      </c>
    </row>
    <row r="379" spans="1:4" x14ac:dyDescent="0.3">
      <c r="A379">
        <v>379</v>
      </c>
      <c r="B379">
        <f t="shared" si="15"/>
        <v>1.6180146532516679</v>
      </c>
      <c r="C379">
        <f t="shared" si="16"/>
        <v>-4.7200782315879652E-2</v>
      </c>
      <c r="D379">
        <f t="shared" si="17"/>
        <v>0.99888542193224994</v>
      </c>
    </row>
    <row r="380" spans="1:4" x14ac:dyDescent="0.3">
      <c r="A380">
        <v>380</v>
      </c>
      <c r="B380">
        <f t="shared" si="15"/>
        <v>1.630606206973471</v>
      </c>
      <c r="C380">
        <f t="shared" si="16"/>
        <v>-5.977422768847257E-2</v>
      </c>
      <c r="D380">
        <f t="shared" si="17"/>
        <v>0.99821192224108735</v>
      </c>
    </row>
    <row r="381" spans="1:4" x14ac:dyDescent="0.3">
      <c r="A381">
        <v>381</v>
      </c>
      <c r="B381">
        <f t="shared" si="15"/>
        <v>1.6431977606952741</v>
      </c>
      <c r="C381">
        <f t="shared" si="16"/>
        <v>-7.2338196148343761E-2</v>
      </c>
      <c r="D381">
        <f t="shared" si="17"/>
        <v>0.99738016091057469</v>
      </c>
    </row>
    <row r="382" spans="1:4" x14ac:dyDescent="0.3">
      <c r="A382">
        <v>382</v>
      </c>
      <c r="B382">
        <f t="shared" si="15"/>
        <v>1.6557893144170763</v>
      </c>
      <c r="C382">
        <f t="shared" si="16"/>
        <v>-8.4890695739474886E-2</v>
      </c>
      <c r="D382">
        <f t="shared" si="17"/>
        <v>0.9963902698124204</v>
      </c>
    </row>
    <row r="383" spans="1:4" x14ac:dyDescent="0.3">
      <c r="A383">
        <v>383</v>
      </c>
      <c r="B383">
        <f t="shared" si="15"/>
        <v>1.6683808681388794</v>
      </c>
      <c r="C383">
        <f t="shared" si="16"/>
        <v>-9.7429736324183544E-2</v>
      </c>
      <c r="D383">
        <f t="shared" si="17"/>
        <v>0.99524240588903767</v>
      </c>
    </row>
    <row r="384" spans="1:4" x14ac:dyDescent="0.3">
      <c r="A384">
        <v>384</v>
      </c>
      <c r="B384">
        <f t="shared" si="15"/>
        <v>1.6809724218606825</v>
      </c>
      <c r="C384">
        <f t="shared" si="16"/>
        <v>-0.10995332989864461</v>
      </c>
      <c r="D384">
        <f t="shared" si="17"/>
        <v>0.99393675112866198</v>
      </c>
    </row>
    <row r="385" spans="1:4" x14ac:dyDescent="0.3">
      <c r="A385">
        <v>385</v>
      </c>
      <c r="B385">
        <f t="shared" ref="B385:B448" si="18">-3.14159265358979+(A385-1)*0.0125915537218028</f>
        <v>1.6935639755824847</v>
      </c>
      <c r="C385">
        <f t="shared" ref="C385:C448" si="19">1*COS(B385)+0</f>
        <v>-0.12245949090808123</v>
      </c>
      <c r="D385">
        <f t="shared" ref="D385:D448" si="20">1*SIN(B385)+0+0*COS(B385)</f>
        <v>0.99247351253649763</v>
      </c>
    </row>
    <row r="386" spans="1:4" x14ac:dyDescent="0.3">
      <c r="A386">
        <v>386</v>
      </c>
      <c r="B386">
        <f t="shared" si="18"/>
        <v>1.7061555293042878</v>
      </c>
      <c r="C386">
        <f t="shared" si="19"/>
        <v>-0.13494623656156748</v>
      </c>
      <c r="D386">
        <f t="shared" si="20"/>
        <v>0.99085292210189779</v>
      </c>
    </row>
    <row r="387" spans="1:4" x14ac:dyDescent="0.3">
      <c r="A387">
        <v>387</v>
      </c>
      <c r="B387">
        <f t="shared" si="18"/>
        <v>1.7187470830260909</v>
      </c>
      <c r="C387">
        <f t="shared" si="19"/>
        <v>-0.14741158714638491</v>
      </c>
      <c r="D387">
        <f t="shared" si="20"/>
        <v>0.98907523676158415</v>
      </c>
    </row>
    <row r="388" spans="1:4" x14ac:dyDescent="0.3">
      <c r="A388">
        <v>388</v>
      </c>
      <c r="B388">
        <f t="shared" si="18"/>
        <v>1.731338636747894</v>
      </c>
      <c r="C388">
        <f t="shared" si="19"/>
        <v>-0.15985356634189996</v>
      </c>
      <c r="D388">
        <f t="shared" si="20"/>
        <v>0.98714073835891092</v>
      </c>
    </row>
    <row r="389" spans="1:4" x14ac:dyDescent="0.3">
      <c r="A389">
        <v>389</v>
      </c>
      <c r="B389">
        <f t="shared" si="18"/>
        <v>1.7439301904696962</v>
      </c>
      <c r="C389">
        <f t="shared" si="19"/>
        <v>-0.17227020153289807</v>
      </c>
      <c r="D389">
        <f t="shared" si="20"/>
        <v>0.98504973359917958</v>
      </c>
    </row>
    <row r="390" spans="1:4" x14ac:dyDescent="0.3">
      <c r="A390">
        <v>390</v>
      </c>
      <c r="B390">
        <f t="shared" si="18"/>
        <v>1.7565217441914993</v>
      </c>
      <c r="C390">
        <f t="shared" si="19"/>
        <v>-0.18465952412233588</v>
      </c>
      <c r="D390">
        <f t="shared" si="20"/>
        <v>0.98280255400101213</v>
      </c>
    </row>
    <row r="391" spans="1:4" x14ac:dyDescent="0.3">
      <c r="A391">
        <v>391</v>
      </c>
      <c r="B391">
        <f t="shared" si="18"/>
        <v>1.7691132979133024</v>
      </c>
      <c r="C391">
        <f t="shared" si="19"/>
        <v>-0.1970195698434474</v>
      </c>
      <c r="D391">
        <f t="shared" si="20"/>
        <v>0.98039955584379113</v>
      </c>
    </row>
    <row r="392" spans="1:4" x14ac:dyDescent="0.3">
      <c r="A392">
        <v>392</v>
      </c>
      <c r="B392">
        <f t="shared" si="18"/>
        <v>1.7817048516351046</v>
      </c>
      <c r="C392">
        <f t="shared" si="19"/>
        <v>-0.20934837907117143</v>
      </c>
      <c r="D392">
        <f t="shared" si="20"/>
        <v>0.97784112011117286</v>
      </c>
    </row>
    <row r="393" spans="1:4" x14ac:dyDescent="0.3">
      <c r="A393">
        <v>393</v>
      </c>
      <c r="B393">
        <f t="shared" si="18"/>
        <v>1.7942964053569077</v>
      </c>
      <c r="C393">
        <f t="shared" si="19"/>
        <v>-0.22164399713284344</v>
      </c>
      <c r="D393">
        <f t="shared" si="20"/>
        <v>0.97512765243068356</v>
      </c>
    </row>
    <row r="394" spans="1:4" x14ac:dyDescent="0.3">
      <c r="A394">
        <v>394</v>
      </c>
      <c r="B394">
        <f t="shared" si="18"/>
        <v>1.8068879590787108</v>
      </c>
      <c r="C394">
        <f t="shared" si="19"/>
        <v>-0.23390447461809394</v>
      </c>
      <c r="D394">
        <f t="shared" si="20"/>
        <v>0.97225958300941084</v>
      </c>
    </row>
    <row r="395" spans="1:4" x14ac:dyDescent="0.3">
      <c r="A395">
        <v>395</v>
      </c>
      <c r="B395">
        <f t="shared" si="18"/>
        <v>1.819479512800513</v>
      </c>
      <c r="C395">
        <f t="shared" si="19"/>
        <v>-0.24612786768792078</v>
      </c>
      <c r="D395">
        <f t="shared" si="20"/>
        <v>0.96923736656579507</v>
      </c>
    </row>
    <row r="396" spans="1:4" x14ac:dyDescent="0.3">
      <c r="A396">
        <v>396</v>
      </c>
      <c r="B396">
        <f t="shared" si="18"/>
        <v>1.8320710665223161</v>
      </c>
      <c r="C396">
        <f t="shared" si="19"/>
        <v>-0.25831223838287781</v>
      </c>
      <c r="D396">
        <f t="shared" si="20"/>
        <v>0.96606148225753585</v>
      </c>
    </row>
    <row r="397" spans="1:4" x14ac:dyDescent="0.3">
      <c r="A397">
        <v>397</v>
      </c>
      <c r="B397">
        <f t="shared" si="18"/>
        <v>1.8446626202441192</v>
      </c>
      <c r="C397">
        <f t="shared" si="19"/>
        <v>-0.27045565493032381</v>
      </c>
      <c r="D397">
        <f t="shared" si="20"/>
        <v>0.96273243360562522</v>
      </c>
    </row>
    <row r="398" spans="1:4" x14ac:dyDescent="0.3">
      <c r="A398">
        <v>398</v>
      </c>
      <c r="B398">
        <f t="shared" si="18"/>
        <v>1.8572541739659214</v>
      </c>
      <c r="C398">
        <f t="shared" si="19"/>
        <v>-0.28255619205069837</v>
      </c>
      <c r="D398">
        <f t="shared" si="20"/>
        <v>0.95925074841451585</v>
      </c>
    </row>
    <row r="399" spans="1:4" x14ac:dyDescent="0.3">
      <c r="A399">
        <v>399</v>
      </c>
      <c r="B399">
        <f t="shared" si="18"/>
        <v>1.8698457276877245</v>
      </c>
      <c r="C399">
        <f t="shared" si="19"/>
        <v>-0.29461193126276775</v>
      </c>
      <c r="D399">
        <f t="shared" si="20"/>
        <v>0.95561697868843987</v>
      </c>
    </row>
    <row r="400" spans="1:4" x14ac:dyDescent="0.3">
      <c r="A400">
        <v>400</v>
      </c>
      <c r="B400">
        <f t="shared" si="18"/>
        <v>1.8824372814095276</v>
      </c>
      <c r="C400">
        <f t="shared" si="19"/>
        <v>-0.30662096118778609</v>
      </c>
      <c r="D400">
        <f t="shared" si="20"/>
        <v>0.95183170054389243</v>
      </c>
    </row>
    <row r="401" spans="1:4" x14ac:dyDescent="0.3">
      <c r="A401">
        <v>401</v>
      </c>
      <c r="B401">
        <f t="shared" si="18"/>
        <v>1.8950288351313298</v>
      </c>
      <c r="C401">
        <f t="shared" si="19"/>
        <v>-0.31858137785253743</v>
      </c>
      <c r="D401">
        <f t="shared" si="20"/>
        <v>0.94789551411829076</v>
      </c>
    </row>
    <row r="402" spans="1:4" x14ac:dyDescent="0.3">
      <c r="A402">
        <v>402</v>
      </c>
      <c r="B402">
        <f t="shared" si="18"/>
        <v>1.9076203888531329</v>
      </c>
      <c r="C402">
        <f t="shared" si="19"/>
        <v>-0.330491284991204</v>
      </c>
      <c r="D402">
        <f t="shared" si="20"/>
        <v>0.94380904347482431</v>
      </c>
    </row>
    <row r="403" spans="1:4" x14ac:dyDescent="0.3">
      <c r="A403">
        <v>403</v>
      </c>
      <c r="B403">
        <f t="shared" si="18"/>
        <v>1.920211942574936</v>
      </c>
      <c r="C403">
        <f t="shared" si="19"/>
        <v>-0.34234879434600496</v>
      </c>
      <c r="D403">
        <f t="shared" si="20"/>
        <v>0.93957293650351426</v>
      </c>
    </row>
    <row r="404" spans="1:4" x14ac:dyDescent="0.3">
      <c r="A404">
        <v>404</v>
      </c>
      <c r="B404">
        <f t="shared" si="18"/>
        <v>1.9328034962967382</v>
      </c>
      <c r="C404">
        <f t="shared" si="19"/>
        <v>-0.35415202596657297</v>
      </c>
      <c r="D404">
        <f t="shared" si="20"/>
        <v>0.93518786481849292</v>
      </c>
    </row>
    <row r="405" spans="1:4" x14ac:dyDescent="0.3">
      <c r="A405">
        <v>405</v>
      </c>
      <c r="B405">
        <f t="shared" si="18"/>
        <v>1.9453950500185413</v>
      </c>
      <c r="C405">
        <f t="shared" si="19"/>
        <v>-0.3658991085080136</v>
      </c>
      <c r="D405">
        <f t="shared" si="20"/>
        <v>0.93065452365152179</v>
      </c>
    </row>
    <row r="406" spans="1:4" x14ac:dyDescent="0.3">
      <c r="A406">
        <v>406</v>
      </c>
      <c r="B406">
        <f t="shared" si="18"/>
        <v>1.9579866037403444</v>
      </c>
      <c r="C406">
        <f t="shared" si="19"/>
        <v>-0.37758817952759294</v>
      </c>
      <c r="D406">
        <f t="shared" si="20"/>
        <v>0.92597363174176739</v>
      </c>
    </row>
    <row r="407" spans="1:4" x14ac:dyDescent="0.3">
      <c r="A407">
        <v>407</v>
      </c>
      <c r="B407">
        <f t="shared" si="18"/>
        <v>1.9705781574621466</v>
      </c>
      <c r="C407">
        <f t="shared" si="19"/>
        <v>-0.38921738578002152</v>
      </c>
      <c r="D407">
        <f t="shared" si="20"/>
        <v>0.92114593122184818</v>
      </c>
    </row>
    <row r="408" spans="1:4" x14ac:dyDescent="0.3">
      <c r="A408">
        <v>408</v>
      </c>
      <c r="B408">
        <f t="shared" si="18"/>
        <v>1.9831697111839497</v>
      </c>
      <c r="C408">
        <f t="shared" si="19"/>
        <v>-0.40078488351127955</v>
      </c>
      <c r="D408">
        <f t="shared" si="20"/>
        <v>0.91617218750017182</v>
      </c>
    </row>
    <row r="409" spans="1:4" x14ac:dyDescent="0.3">
      <c r="A409">
        <v>409</v>
      </c>
      <c r="B409">
        <f t="shared" si="18"/>
        <v>1.9957612649057528</v>
      </c>
      <c r="C409">
        <f t="shared" si="19"/>
        <v>-0.41228883875093031</v>
      </c>
      <c r="D409">
        <f t="shared" si="20"/>
        <v>0.91105318913958555</v>
      </c>
    </row>
    <row r="410" spans="1:4" x14ac:dyDescent="0.3">
      <c r="A410">
        <v>410</v>
      </c>
      <c r="B410">
        <f t="shared" si="18"/>
        <v>2.008352818627555</v>
      </c>
      <c r="C410">
        <f t="shared" si="19"/>
        <v>-0.42372742760288978</v>
      </c>
      <c r="D410">
        <f t="shared" si="20"/>
        <v>0.90578974773235199</v>
      </c>
    </row>
    <row r="411" spans="1:4" x14ac:dyDescent="0.3">
      <c r="A411">
        <v>411</v>
      </c>
      <c r="B411">
        <f t="shared" si="18"/>
        <v>2.0209443723493581</v>
      </c>
      <c r="C411">
        <f t="shared" si="19"/>
        <v>-0.43509883653459874</v>
      </c>
      <c r="D411">
        <f t="shared" si="20"/>
        <v>0.90038269777147462</v>
      </c>
    </row>
    <row r="412" spans="1:4" x14ac:dyDescent="0.3">
      <c r="A412">
        <v>412</v>
      </c>
      <c r="B412">
        <f t="shared" si="18"/>
        <v>2.0335359260711612</v>
      </c>
      <c r="C412">
        <f t="shared" si="19"/>
        <v>-0.44640126266454477</v>
      </c>
      <c r="D412">
        <f t="shared" si="20"/>
        <v>0.8948328965183947</v>
      </c>
    </row>
    <row r="413" spans="1:4" x14ac:dyDescent="0.3">
      <c r="A413">
        <v>413</v>
      </c>
      <c r="B413">
        <f t="shared" si="18"/>
        <v>2.0461274797929634</v>
      </c>
      <c r="C413">
        <f t="shared" si="19"/>
        <v>-0.45763291404810286</v>
      </c>
      <c r="D413">
        <f t="shared" si="20"/>
        <v>0.88914122386707595</v>
      </c>
    </row>
    <row r="414" spans="1:4" x14ac:dyDescent="0.3">
      <c r="A414">
        <v>414</v>
      </c>
      <c r="B414">
        <f t="shared" si="18"/>
        <v>2.0587190335147665</v>
      </c>
      <c r="C414">
        <f t="shared" si="19"/>
        <v>-0.46879200996164166</v>
      </c>
      <c r="D414">
        <f t="shared" si="20"/>
        <v>0.88330858220450004</v>
      </c>
    </row>
    <row r="415" spans="1:4" x14ac:dyDescent="0.3">
      <c r="A415">
        <v>415</v>
      </c>
      <c r="B415">
        <f t="shared" si="18"/>
        <v>2.0713105872365696</v>
      </c>
      <c r="C415">
        <f t="shared" si="19"/>
        <v>-0.47987678118484395</v>
      </c>
      <c r="D415">
        <f t="shared" si="20"/>
        <v>0.87733589626760022</v>
      </c>
    </row>
    <row r="416" spans="1:4" x14ac:dyDescent="0.3">
      <c r="A416">
        <v>416</v>
      </c>
      <c r="B416">
        <f t="shared" si="18"/>
        <v>2.0839021409583718</v>
      </c>
      <c r="C416">
        <f t="shared" si="19"/>
        <v>-0.49088547028121021</v>
      </c>
      <c r="D416">
        <f t="shared" si="20"/>
        <v>0.87122411299664748</v>
      </c>
    </row>
    <row r="417" spans="1:4" x14ac:dyDescent="0.3">
      <c r="A417">
        <v>417</v>
      </c>
      <c r="B417">
        <f t="shared" si="18"/>
        <v>2.0964936946801749</v>
      </c>
      <c r="C417">
        <f t="shared" si="19"/>
        <v>-0.50181633187669406</v>
      </c>
      <c r="D417">
        <f t="shared" si="20"/>
        <v>0.86497420138511627</v>
      </c>
    </row>
    <row r="418" spans="1:4" x14ac:dyDescent="0.3">
      <c r="A418">
        <v>418</v>
      </c>
      <c r="B418">
        <f t="shared" si="18"/>
        <v>2.109085248401978</v>
      </c>
      <c r="C418">
        <f t="shared" si="19"/>
        <v>-0.51266763293641782</v>
      </c>
      <c r="D418">
        <f t="shared" si="20"/>
        <v>0.85858715232605853</v>
      </c>
    </row>
    <row r="419" spans="1:4" x14ac:dyDescent="0.3">
      <c r="A419">
        <v>419</v>
      </c>
      <c r="B419">
        <f t="shared" si="18"/>
        <v>2.1216768021237802</v>
      </c>
      <c r="C419">
        <f t="shared" si="19"/>
        <v>-0.52343765303943968</v>
      </c>
      <c r="D419">
        <f t="shared" si="20"/>
        <v>0.85206397845500026</v>
      </c>
    </row>
    <row r="420" spans="1:4" x14ac:dyDescent="0.3">
      <c r="A420">
        <v>420</v>
      </c>
      <c r="B420">
        <f t="shared" si="18"/>
        <v>2.1342683558455833</v>
      </c>
      <c r="C420">
        <f t="shared" si="19"/>
        <v>-0.53412468465151974</v>
      </c>
      <c r="D420">
        <f t="shared" si="20"/>
        <v>0.84540571398939246</v>
      </c>
    </row>
    <row r="421" spans="1:4" x14ac:dyDescent="0.3">
      <c r="A421">
        <v>421</v>
      </c>
      <c r="B421">
        <f t="shared" si="18"/>
        <v>2.1468599095673864</v>
      </c>
      <c r="C421">
        <f t="shared" si="19"/>
        <v>-0.54472703339583717</v>
      </c>
      <c r="D421">
        <f t="shared" si="20"/>
        <v>0.83861341456464344</v>
      </c>
    </row>
    <row r="422" spans="1:4" x14ac:dyDescent="0.3">
      <c r="A422">
        <v>422</v>
      </c>
      <c r="B422">
        <f t="shared" si="18"/>
        <v>2.1594514632891886</v>
      </c>
      <c r="C422">
        <f t="shared" si="19"/>
        <v>-0.55524301832162715</v>
      </c>
      <c r="D422">
        <f t="shared" si="20"/>
        <v>0.83168815706675137</v>
      </c>
    </row>
    <row r="423" spans="1:4" x14ac:dyDescent="0.3">
      <c r="A423">
        <v>423</v>
      </c>
      <c r="B423">
        <f t="shared" si="18"/>
        <v>2.1720430170109917</v>
      </c>
      <c r="C423">
        <f t="shared" si="19"/>
        <v>-0.56567097217069007</v>
      </c>
      <c r="D423">
        <f t="shared" si="20"/>
        <v>0.82463103946156813</v>
      </c>
    </row>
    <row r="424" spans="1:4" x14ac:dyDescent="0.3">
      <c r="A424">
        <v>424</v>
      </c>
      <c r="B424">
        <f t="shared" si="18"/>
        <v>2.1846345707327948</v>
      </c>
      <c r="C424">
        <f t="shared" si="19"/>
        <v>-0.57600924164172285</v>
      </c>
      <c r="D424">
        <f t="shared" si="20"/>
        <v>0.81744318062072507</v>
      </c>
    </row>
    <row r="425" spans="1:4" x14ac:dyDescent="0.3">
      <c r="A425">
        <v>425</v>
      </c>
      <c r="B425">
        <f t="shared" si="18"/>
        <v>2.197226124454597</v>
      </c>
      <c r="C425">
        <f t="shared" si="19"/>
        <v>-0.58625618765244358</v>
      </c>
      <c r="D425">
        <f t="shared" si="20"/>
        <v>0.81012572014423967</v>
      </c>
    </row>
    <row r="426" spans="1:4" x14ac:dyDescent="0.3">
      <c r="A426">
        <v>426</v>
      </c>
      <c r="B426">
        <f t="shared" si="18"/>
        <v>2.2098176781764001</v>
      </c>
      <c r="C426">
        <f t="shared" si="19"/>
        <v>-0.59641018559946257</v>
      </c>
      <c r="D426">
        <f t="shared" si="20"/>
        <v>0.80267981817983602</v>
      </c>
    </row>
    <row r="427" spans="1:4" x14ac:dyDescent="0.3">
      <c r="A427">
        <v>427</v>
      </c>
      <c r="B427">
        <f t="shared" si="18"/>
        <v>2.2224092318982032</v>
      </c>
      <c r="C427">
        <f t="shared" si="19"/>
        <v>-0.60646962561585072</v>
      </c>
      <c r="D427">
        <f t="shared" si="20"/>
        <v>0.79510665523901247</v>
      </c>
    </row>
    <row r="428" spans="1:4" x14ac:dyDescent="0.3">
      <c r="A428">
        <v>428</v>
      </c>
      <c r="B428">
        <f t="shared" si="18"/>
        <v>2.2350007856200054</v>
      </c>
      <c r="C428">
        <f t="shared" si="19"/>
        <v>-0.61643291282637847</v>
      </c>
      <c r="D428">
        <f t="shared" si="20"/>
        <v>0.7874074320098754</v>
      </c>
    </row>
    <row r="429" spans="1:4" x14ac:dyDescent="0.3">
      <c r="A429">
        <v>429</v>
      </c>
      <c r="B429">
        <f t="shared" si="18"/>
        <v>2.2475923393418085</v>
      </c>
      <c r="C429">
        <f t="shared" si="19"/>
        <v>-0.62629846760037755</v>
      </c>
      <c r="D429">
        <f t="shared" si="20"/>
        <v>0.77958336916677407</v>
      </c>
    </row>
    <row r="430" spans="1:4" x14ac:dyDescent="0.3">
      <c r="A430">
        <v>430</v>
      </c>
      <c r="B430">
        <f t="shared" si="18"/>
        <v>2.2601838930636116</v>
      </c>
      <c r="C430">
        <f t="shared" si="19"/>
        <v>-0.63606472580217954</v>
      </c>
      <c r="D430">
        <f t="shared" si="20"/>
        <v>0.77163570717677277</v>
      </c>
    </row>
    <row r="431" spans="1:4" x14ac:dyDescent="0.3">
      <c r="A431">
        <v>431</v>
      </c>
      <c r="B431">
        <f t="shared" si="18"/>
        <v>2.2727754467854138</v>
      </c>
      <c r="C431">
        <f t="shared" si="19"/>
        <v>-0.64573013903910359</v>
      </c>
      <c r="D431">
        <f t="shared" si="20"/>
        <v>0.76356570610297836</v>
      </c>
    </row>
    <row r="432" spans="1:4" x14ac:dyDescent="0.3">
      <c r="A432">
        <v>432</v>
      </c>
      <c r="B432">
        <f t="shared" si="18"/>
        <v>2.2853670005072169</v>
      </c>
      <c r="C432">
        <f t="shared" si="19"/>
        <v>-0.6552931749069496</v>
      </c>
      <c r="D432">
        <f t="shared" si="20"/>
        <v>0.75537464540476196</v>
      </c>
    </row>
    <row r="433" spans="1:4" x14ac:dyDescent="0.3">
      <c r="A433">
        <v>433</v>
      </c>
      <c r="B433">
        <f t="shared" si="18"/>
        <v>2.29795855422902</v>
      </c>
      <c r="C433">
        <f t="shared" si="19"/>
        <v>-0.66475231723294848</v>
      </c>
      <c r="D433">
        <f t="shared" si="20"/>
        <v>0.74706382373491054</v>
      </c>
    </row>
    <row r="434" spans="1:4" x14ac:dyDescent="0.3">
      <c r="A434">
        <v>434</v>
      </c>
      <c r="B434">
        <f t="shared" si="18"/>
        <v>2.3105501079508222</v>
      </c>
      <c r="C434">
        <f t="shared" si="19"/>
        <v>-0.67410606631614611</v>
      </c>
      <c r="D434">
        <f t="shared" si="20"/>
        <v>0.73863455873372974</v>
      </c>
    </row>
    <row r="435" spans="1:4" x14ac:dyDescent="0.3">
      <c r="A435">
        <v>435</v>
      </c>
      <c r="B435">
        <f t="shared" si="18"/>
        <v>2.3231416616726253</v>
      </c>
      <c r="C435">
        <f t="shared" si="19"/>
        <v>-0.68335293916517603</v>
      </c>
      <c r="D435">
        <f t="shared" si="20"/>
        <v>0.73008818682013699</v>
      </c>
    </row>
    <row r="436" spans="1:4" x14ac:dyDescent="0.3">
      <c r="A436">
        <v>436</v>
      </c>
      <c r="B436">
        <f t="shared" si="18"/>
        <v>2.3357332153944284</v>
      </c>
      <c r="C436">
        <f t="shared" si="19"/>
        <v>-0.69249146973337627</v>
      </c>
      <c r="D436">
        <f t="shared" si="20"/>
        <v>0.72142606297978207</v>
      </c>
    </row>
    <row r="437" spans="1:4" x14ac:dyDescent="0.3">
      <c r="A437">
        <v>437</v>
      </c>
      <c r="B437">
        <f t="shared" si="18"/>
        <v>2.3483247691162306</v>
      </c>
      <c r="C437">
        <f t="shared" si="19"/>
        <v>-0.7015202091512257</v>
      </c>
      <c r="D437">
        <f t="shared" si="20"/>
        <v>0.71264956055021922</v>
      </c>
    </row>
    <row r="438" spans="1:4" x14ac:dyDescent="0.3">
      <c r="A438">
        <v>438</v>
      </c>
      <c r="B438">
        <f t="shared" si="18"/>
        <v>2.3609163228380337</v>
      </c>
      <c r="C438">
        <f t="shared" si="19"/>
        <v>-0.7104377259560577</v>
      </c>
      <c r="D438">
        <f t="shared" si="20"/>
        <v>0.70376007100316906</v>
      </c>
    </row>
    <row r="439" spans="1:4" x14ac:dyDescent="0.3">
      <c r="A439">
        <v>439</v>
      </c>
      <c r="B439">
        <f t="shared" si="18"/>
        <v>2.3735078765598367</v>
      </c>
      <c r="C439">
        <f t="shared" si="19"/>
        <v>-0.71924260631900705</v>
      </c>
      <c r="D439">
        <f t="shared" si="20"/>
        <v>0.69475900372391142</v>
      </c>
    </row>
    <row r="440" spans="1:4" x14ac:dyDescent="0.3">
      <c r="A440">
        <v>440</v>
      </c>
      <c r="B440">
        <f t="shared" si="18"/>
        <v>2.386099430281639</v>
      </c>
      <c r="C440">
        <f t="shared" si="19"/>
        <v>-0.72793345426916811</v>
      </c>
      <c r="D440">
        <f t="shared" si="20"/>
        <v>0.68564778578783214</v>
      </c>
    </row>
    <row r="441" spans="1:4" x14ac:dyDescent="0.3">
      <c r="A441">
        <v>441</v>
      </c>
      <c r="B441">
        <f t="shared" si="18"/>
        <v>2.3986909840034421</v>
      </c>
      <c r="C441">
        <f t="shared" si="19"/>
        <v>-0.73650889191492097</v>
      </c>
      <c r="D441">
        <f t="shared" si="20"/>
        <v>0.67642786173416547</v>
      </c>
    </row>
    <row r="442" spans="1:4" x14ac:dyDescent="0.3">
      <c r="A442">
        <v>442</v>
      </c>
      <c r="B442">
        <f t="shared" si="18"/>
        <v>2.4112825377252451</v>
      </c>
      <c r="C442">
        <f t="shared" si="19"/>
        <v>-0.74496755966238526</v>
      </c>
      <c r="D442">
        <f t="shared" si="20"/>
        <v>0.6671006933369733</v>
      </c>
    </row>
    <row r="443" spans="1:4" x14ac:dyDescent="0.3">
      <c r="A443">
        <v>443</v>
      </c>
      <c r="B443">
        <f t="shared" si="18"/>
        <v>2.4238740914470474</v>
      </c>
      <c r="C443">
        <f t="shared" si="19"/>
        <v>-0.75330811643097972</v>
      </c>
      <c r="D443">
        <f t="shared" si="20"/>
        <v>0.65766775937338562</v>
      </c>
    </row>
    <row r="444" spans="1:4" x14ac:dyDescent="0.3">
      <c r="A444">
        <v>444</v>
      </c>
      <c r="B444">
        <f t="shared" si="18"/>
        <v>2.4364656451688504</v>
      </c>
      <c r="C444">
        <f t="shared" si="19"/>
        <v>-0.76152923986604526</v>
      </c>
      <c r="D444">
        <f t="shared" si="20"/>
        <v>0.64813055538914632</v>
      </c>
    </row>
    <row r="445" spans="1:4" x14ac:dyDescent="0.3">
      <c r="A445">
        <v>445</v>
      </c>
      <c r="B445">
        <f t="shared" si="18"/>
        <v>2.4490571988906535</v>
      </c>
      <c r="C445">
        <f t="shared" si="19"/>
        <v>-0.76962962654849454</v>
      </c>
      <c r="D445">
        <f t="shared" si="20"/>
        <v>0.63849059346150505</v>
      </c>
    </row>
    <row r="446" spans="1:4" x14ac:dyDescent="0.3">
      <c r="A446">
        <v>446</v>
      </c>
      <c r="B446">
        <f t="shared" si="18"/>
        <v>2.4616487526124557</v>
      </c>
      <c r="C446">
        <f t="shared" si="19"/>
        <v>-0.77760799220146415</v>
      </c>
      <c r="D446">
        <f t="shared" si="20"/>
        <v>0.62874940195948303</v>
      </c>
    </row>
    <row r="447" spans="1:4" x14ac:dyDescent="0.3">
      <c r="A447">
        <v>447</v>
      </c>
      <c r="B447">
        <f t="shared" si="18"/>
        <v>2.4742403063342588</v>
      </c>
      <c r="C447">
        <f t="shared" si="19"/>
        <v>-0.78546307189393294</v>
      </c>
      <c r="D447">
        <f t="shared" si="20"/>
        <v>0.61890852530155571</v>
      </c>
    </row>
    <row r="448" spans="1:4" x14ac:dyDescent="0.3">
      <c r="A448">
        <v>448</v>
      </c>
      <c r="B448">
        <f t="shared" si="18"/>
        <v>2.4868318600560619</v>
      </c>
      <c r="C448">
        <f t="shared" si="19"/>
        <v>-0.79319362024126616</v>
      </c>
      <c r="D448">
        <f t="shared" si="20"/>
        <v>0.60896952371079627</v>
      </c>
    </row>
    <row r="449" spans="1:4" x14ac:dyDescent="0.3">
      <c r="A449">
        <v>449</v>
      </c>
      <c r="B449">
        <f t="shared" ref="B449:B500" si="21">-3.14159265358979+(A449-1)*0.0125915537218028</f>
        <v>2.4994234137778641</v>
      </c>
      <c r="C449">
        <f t="shared" ref="C449:C500" si="22">1*COS(B449)+0</f>
        <v>-0.80079841160266774</v>
      </c>
      <c r="D449">
        <f t="shared" ref="D449:D500" si="23">1*SIN(B449)+0+0*COS(B449)</f>
        <v>0.59893397296750861</v>
      </c>
    </row>
    <row r="450" spans="1:4" x14ac:dyDescent="0.3">
      <c r="A450">
        <v>450</v>
      </c>
      <c r="B450">
        <f t="shared" si="21"/>
        <v>2.5120149674996672</v>
      </c>
      <c r="C450">
        <f t="shared" si="22"/>
        <v>-0.80827624027550105</v>
      </c>
      <c r="D450">
        <f t="shared" si="23"/>
        <v>0.588803464159392</v>
      </c>
    </row>
    <row r="451" spans="1:4" x14ac:dyDescent="0.3">
      <c r="A451">
        <v>451</v>
      </c>
      <c r="B451">
        <f t="shared" si="21"/>
        <v>2.5246065212214703</v>
      </c>
      <c r="C451">
        <f t="shared" si="22"/>
        <v>-0.81562592068644368</v>
      </c>
      <c r="D451">
        <f t="shared" si="23"/>
        <v>0.57857960342928716</v>
      </c>
    </row>
    <row r="452" spans="1:4" x14ac:dyDescent="0.3">
      <c r="A452">
        <v>452</v>
      </c>
      <c r="B452">
        <f t="shared" si="21"/>
        <v>2.5371980749432725</v>
      </c>
      <c r="C452">
        <f t="shared" si="22"/>
        <v>-0.82284628757945599</v>
      </c>
      <c r="D452">
        <f t="shared" si="23"/>
        <v>0.56826401172052687</v>
      </c>
    </row>
    <row r="453" spans="1:4" x14ac:dyDescent="0.3">
      <c r="A453">
        <v>453</v>
      </c>
      <c r="B453">
        <f t="shared" si="21"/>
        <v>2.5497896286650756</v>
      </c>
      <c r="C453">
        <f t="shared" si="22"/>
        <v>-0.82993619620052894</v>
      </c>
      <c r="D453">
        <f t="shared" si="23"/>
        <v>0.55785832451994222</v>
      </c>
    </row>
    <row r="454" spans="1:4" x14ac:dyDescent="0.3">
      <c r="A454">
        <v>454</v>
      </c>
      <c r="B454">
        <f t="shared" si="21"/>
        <v>2.5623811823868787</v>
      </c>
      <c r="C454">
        <f t="shared" si="22"/>
        <v>-0.83689452247917506</v>
      </c>
      <c r="D454">
        <f t="shared" si="23"/>
        <v>0.54736419159856775</v>
      </c>
    </row>
    <row r="455" spans="1:4" x14ac:dyDescent="0.3">
      <c r="A455">
        <v>455</v>
      </c>
      <c r="B455">
        <f t="shared" si="21"/>
        <v>2.5749727361086809</v>
      </c>
      <c r="C455">
        <f t="shared" si="22"/>
        <v>-0.843720163206647</v>
      </c>
      <c r="D455">
        <f t="shared" si="23"/>
        <v>0.5367832767500762</v>
      </c>
    </row>
    <row r="456" spans="1:4" x14ac:dyDescent="0.3">
      <c r="A456">
        <v>456</v>
      </c>
      <c r="B456">
        <f t="shared" si="21"/>
        <v>2.587564289830484</v>
      </c>
      <c r="C456">
        <f t="shared" si="22"/>
        <v>-0.85041203621084671</v>
      </c>
      <c r="D456">
        <f t="shared" si="23"/>
        <v>0.52611725752699035</v>
      </c>
    </row>
    <row r="457" spans="1:4" x14ac:dyDescent="0.3">
      <c r="A457">
        <v>457</v>
      </c>
      <c r="B457">
        <f t="shared" si="21"/>
        <v>2.6001558435522871</v>
      </c>
      <c r="C457">
        <f t="shared" si="22"/>
        <v>-0.85696908052789589</v>
      </c>
      <c r="D457">
        <f t="shared" si="23"/>
        <v>0.51536782497471911</v>
      </c>
    </row>
    <row r="458" spans="1:4" x14ac:dyDescent="0.3">
      <c r="A458">
        <v>458</v>
      </c>
      <c r="B458">
        <f t="shared" si="21"/>
        <v>2.6127473972740893</v>
      </c>
      <c r="C458">
        <f t="shared" si="22"/>
        <v>-0.86339025657034785</v>
      </c>
      <c r="D458">
        <f t="shared" si="23"/>
        <v>0.50453668336344881</v>
      </c>
    </row>
    <row r="459" spans="1:4" x14ac:dyDescent="0.3">
      <c r="A459">
        <v>459</v>
      </c>
      <c r="B459">
        <f t="shared" si="21"/>
        <v>2.6253389509958924</v>
      </c>
      <c r="C459">
        <f t="shared" si="22"/>
        <v>-0.8696745462920108</v>
      </c>
      <c r="D459">
        <f t="shared" si="23"/>
        <v>0.4936255499179365</v>
      </c>
    </row>
    <row r="460" spans="1:4" x14ac:dyDescent="0.3">
      <c r="A460">
        <v>460</v>
      </c>
      <c r="B460">
        <f t="shared" si="21"/>
        <v>2.6379305047176955</v>
      </c>
      <c r="C460">
        <f t="shared" si="22"/>
        <v>-0.87582095334935095</v>
      </c>
      <c r="D460">
        <f t="shared" si="23"/>
        <v>0.48263615454525777</v>
      </c>
    </row>
    <row r="461" spans="1:4" x14ac:dyDescent="0.3">
      <c r="A461">
        <v>461</v>
      </c>
      <c r="B461">
        <f t="shared" si="21"/>
        <v>2.6505220584394977</v>
      </c>
      <c r="C461">
        <f t="shared" si="22"/>
        <v>-0.88182850325945983</v>
      </c>
      <c r="D461">
        <f t="shared" si="23"/>
        <v>0.47157023956053545</v>
      </c>
    </row>
    <row r="462" spans="1:4" x14ac:dyDescent="0.3">
      <c r="A462">
        <v>462</v>
      </c>
      <c r="B462">
        <f t="shared" si="21"/>
        <v>2.6631136121613008</v>
      </c>
      <c r="C462">
        <f t="shared" si="22"/>
        <v>-0.88769624355455456</v>
      </c>
      <c r="D462">
        <f t="shared" si="23"/>
        <v>0.46042955941070179</v>
      </c>
    </row>
    <row r="463" spans="1:4" x14ac:dyDescent="0.3">
      <c r="A463">
        <v>463</v>
      </c>
      <c r="B463">
        <f t="shared" si="21"/>
        <v>2.6757051658831039</v>
      </c>
      <c r="C463">
        <f t="shared" si="22"/>
        <v>-0.89342324393298445</v>
      </c>
      <c r="D463">
        <f t="shared" si="23"/>
        <v>0.44921588039634452</v>
      </c>
    </row>
    <row r="464" spans="1:4" x14ac:dyDescent="0.3">
      <c r="A464">
        <v>464</v>
      </c>
      <c r="B464">
        <f t="shared" si="21"/>
        <v>2.6882967196049061</v>
      </c>
      <c r="C464">
        <f t="shared" si="22"/>
        <v>-0.8990085964067277</v>
      </c>
      <c r="D464">
        <f t="shared" si="23"/>
        <v>0.43793098039166556</v>
      </c>
    </row>
    <row r="465" spans="1:4" x14ac:dyDescent="0.3">
      <c r="A465">
        <v>465</v>
      </c>
      <c r="B465">
        <f t="shared" si="21"/>
        <v>2.7008882733267092</v>
      </c>
      <c r="C465">
        <f t="shared" si="22"/>
        <v>-0.90445141544534879</v>
      </c>
      <c r="D465">
        <f t="shared" si="23"/>
        <v>0.42657664856260591</v>
      </c>
    </row>
    <row r="466" spans="1:4" x14ac:dyDescent="0.3">
      <c r="A466">
        <v>466</v>
      </c>
      <c r="B466">
        <f t="shared" si="21"/>
        <v>2.7134798270485123</v>
      </c>
      <c r="C466">
        <f t="shared" si="22"/>
        <v>-0.90975083811639346</v>
      </c>
      <c r="D466">
        <f t="shared" si="23"/>
        <v>0.41515468508318643</v>
      </c>
    </row>
    <row r="467" spans="1:4" x14ac:dyDescent="0.3">
      <c r="A467">
        <v>467</v>
      </c>
      <c r="B467">
        <f t="shared" si="21"/>
        <v>2.7260713807703145</v>
      </c>
      <c r="C467">
        <f t="shared" si="22"/>
        <v>-0.91490602422220291</v>
      </c>
      <c r="D467">
        <f t="shared" si="23"/>
        <v>0.40366690085009682</v>
      </c>
    </row>
    <row r="468" spans="1:4" x14ac:dyDescent="0.3">
      <c r="A468">
        <v>468</v>
      </c>
      <c r="B468">
        <f t="shared" si="21"/>
        <v>2.7386629344921176</v>
      </c>
      <c r="C468">
        <f t="shared" si="22"/>
        <v>-0.91991615643312463</v>
      </c>
      <c r="D468">
        <f t="shared" si="23"/>
        <v>0.39211511719558451</v>
      </c>
    </row>
    <row r="469" spans="1:4" x14ac:dyDescent="0.3">
      <c r="A469">
        <v>469</v>
      </c>
      <c r="B469">
        <f t="shared" si="21"/>
        <v>2.7512544882139207</v>
      </c>
      <c r="C469">
        <f t="shared" si="22"/>
        <v>-0.92478044041709373</v>
      </c>
      <c r="D469">
        <f t="shared" si="23"/>
        <v>0.38050116559869573</v>
      </c>
    </row>
    <row r="470" spans="1:4" x14ac:dyDescent="0.3">
      <c r="A470">
        <v>470</v>
      </c>
      <c r="B470">
        <f t="shared" si="21"/>
        <v>2.7638460419357229</v>
      </c>
      <c r="C470">
        <f t="shared" si="22"/>
        <v>-0.92949810496557161</v>
      </c>
      <c r="D470">
        <f t="shared" si="23"/>
        <v>0.36882688739490138</v>
      </c>
    </row>
    <row r="471" spans="1:4" x14ac:dyDescent="0.3">
      <c r="A471">
        <v>471</v>
      </c>
      <c r="B471">
        <f t="shared" si="21"/>
        <v>2.776437595657526</v>
      </c>
      <c r="C471">
        <f t="shared" si="22"/>
        <v>-0.93406840211581788</v>
      </c>
      <c r="D471">
        <f t="shared" si="23"/>
        <v>0.35709413348415964</v>
      </c>
    </row>
    <row r="472" spans="1:4" x14ac:dyDescent="0.3">
      <c r="A472">
        <v>472</v>
      </c>
      <c r="B472">
        <f t="shared" si="21"/>
        <v>2.7890291493793291</v>
      </c>
      <c r="C472">
        <f t="shared" si="22"/>
        <v>-0.93849060726947464</v>
      </c>
      <c r="D472">
        <f t="shared" si="23"/>
        <v>0.34530476403746974</v>
      </c>
    </row>
    <row r="473" spans="1:4" x14ac:dyDescent="0.3">
      <c r="A473">
        <v>473</v>
      </c>
      <c r="B473">
        <f t="shared" si="21"/>
        <v>2.8016207031011313</v>
      </c>
      <c r="C473">
        <f t="shared" si="22"/>
        <v>-0.94276401930744913</v>
      </c>
      <c r="D473">
        <f t="shared" si="23"/>
        <v>0.33346064820194843</v>
      </c>
    </row>
    <row r="474" spans="1:4" x14ac:dyDescent="0.3">
      <c r="A474">
        <v>474</v>
      </c>
      <c r="B474">
        <f t="shared" si="21"/>
        <v>2.8142122568229344</v>
      </c>
      <c r="C474">
        <f t="shared" si="22"/>
        <v>-0.94688796070107328</v>
      </c>
      <c r="D474">
        <f t="shared" si="23"/>
        <v>0.32156366380448331</v>
      </c>
    </row>
    <row r="475" spans="1:4" x14ac:dyDescent="0.3">
      <c r="A475">
        <v>475</v>
      </c>
      <c r="B475">
        <f t="shared" si="21"/>
        <v>2.8268038105447375</v>
      </c>
      <c r="C475">
        <f t="shared" si="22"/>
        <v>-0.95086177761952073</v>
      </c>
      <c r="D475">
        <f t="shared" si="23"/>
        <v>0.30961569705401759</v>
      </c>
    </row>
    <row r="476" spans="1:4" x14ac:dyDescent="0.3">
      <c r="A476">
        <v>476</v>
      </c>
      <c r="B476">
        <f t="shared" si="21"/>
        <v>2.8393953642665397</v>
      </c>
      <c r="C476">
        <f t="shared" si="22"/>
        <v>-0.95468484003346987</v>
      </c>
      <c r="D476">
        <f t="shared" si="23"/>
        <v>0.29761864224249818</v>
      </c>
    </row>
    <row r="477" spans="1:4" x14ac:dyDescent="0.3">
      <c r="A477">
        <v>477</v>
      </c>
      <c r="B477">
        <f t="shared" si="21"/>
        <v>2.8519869179883428</v>
      </c>
      <c r="C477">
        <f t="shared" si="22"/>
        <v>-0.95835654181499241</v>
      </c>
      <c r="D477">
        <f t="shared" si="23"/>
        <v>0.28557440144454255</v>
      </c>
    </row>
    <row r="478" spans="1:4" x14ac:dyDescent="0.3">
      <c r="A478">
        <v>478</v>
      </c>
      <c r="B478">
        <f t="shared" si="21"/>
        <v>2.8645784717101459</v>
      </c>
      <c r="C478">
        <f t="shared" si="22"/>
        <v>-0.96187630083365039</v>
      </c>
      <c r="D478">
        <f t="shared" si="23"/>
        <v>0.27348488421587913</v>
      </c>
    </row>
    <row r="479" spans="1:4" x14ac:dyDescent="0.3">
      <c r="A479">
        <v>479</v>
      </c>
      <c r="B479">
        <f t="shared" si="21"/>
        <v>2.8771700254319481</v>
      </c>
      <c r="C479">
        <f t="shared" si="22"/>
        <v>-0.96524355904879122</v>
      </c>
      <c r="D479">
        <f t="shared" si="23"/>
        <v>0.26135200729059388</v>
      </c>
    </row>
    <row r="480" spans="1:4" x14ac:dyDescent="0.3">
      <c r="A480">
        <v>480</v>
      </c>
      <c r="B480">
        <f t="shared" si="21"/>
        <v>2.8897615791537512</v>
      </c>
      <c r="C480">
        <f t="shared" si="22"/>
        <v>-0.96845778259802262</v>
      </c>
      <c r="D480">
        <f t="shared" si="23"/>
        <v>0.24917769427723904</v>
      </c>
    </row>
    <row r="481" spans="1:4" x14ac:dyDescent="0.3">
      <c r="A481">
        <v>481</v>
      </c>
      <c r="B481">
        <f t="shared" si="21"/>
        <v>2.9023531328755543</v>
      </c>
      <c r="C481">
        <f t="shared" si="22"/>
        <v>-0.97151846188185254</v>
      </c>
      <c r="D481">
        <f t="shared" si="23"/>
        <v>0.23696387535385935</v>
      </c>
    </row>
    <row r="482" spans="1:4" x14ac:dyDescent="0.3">
      <c r="A482">
        <v>482</v>
      </c>
      <c r="B482">
        <f t="shared" si="21"/>
        <v>2.9149446865973565</v>
      </c>
      <c r="C482">
        <f t="shared" si="22"/>
        <v>-0.97442511164448486</v>
      </c>
      <c r="D482">
        <f t="shared" si="23"/>
        <v>0.22471248696196916</v>
      </c>
    </row>
    <row r="483" spans="1:4" x14ac:dyDescent="0.3">
      <c r="A483">
        <v>483</v>
      </c>
      <c r="B483">
        <f t="shared" si="21"/>
        <v>2.9275362403191596</v>
      </c>
      <c r="C483">
        <f t="shared" si="22"/>
        <v>-0.97717727105075436</v>
      </c>
      <c r="D483">
        <f t="shared" si="23"/>
        <v>0.21242547149953661</v>
      </c>
    </row>
    <row r="484" spans="1:4" x14ac:dyDescent="0.3">
      <c r="A484">
        <v>484</v>
      </c>
      <c r="B484">
        <f t="shared" si="21"/>
        <v>2.9401277940409627</v>
      </c>
      <c r="C484">
        <f t="shared" si="22"/>
        <v>-0.97977450375918906</v>
      </c>
      <c r="D484">
        <f t="shared" si="23"/>
        <v>0.20010477701303092</v>
      </c>
    </row>
    <row r="485" spans="1:4" x14ac:dyDescent="0.3">
      <c r="A485">
        <v>485</v>
      </c>
      <c r="B485">
        <f t="shared" si="21"/>
        <v>2.9527193477627649</v>
      </c>
      <c r="C485">
        <f t="shared" si="22"/>
        <v>-0.98221639799119032</v>
      </c>
      <c r="D485">
        <f t="shared" si="23"/>
        <v>0.18775235688856662</v>
      </c>
    </row>
    <row r="486" spans="1:4" x14ac:dyDescent="0.3">
      <c r="A486">
        <v>486</v>
      </c>
      <c r="B486">
        <f t="shared" si="21"/>
        <v>2.965310901484568</v>
      </c>
      <c r="C486">
        <f t="shared" si="22"/>
        <v>-0.98450256659631907</v>
      </c>
      <c r="D486">
        <f t="shared" si="23"/>
        <v>0.17537016954220097</v>
      </c>
    </row>
    <row r="487" spans="1:4" x14ac:dyDescent="0.3">
      <c r="A487">
        <v>487</v>
      </c>
      <c r="B487">
        <f t="shared" si="21"/>
        <v>2.9779024552063711</v>
      </c>
      <c r="C487">
        <f t="shared" si="22"/>
        <v>-0.98663264711367571</v>
      </c>
      <c r="D487">
        <f t="shared" si="23"/>
        <v>0.16296017810944194</v>
      </c>
    </row>
    <row r="488" spans="1:4" x14ac:dyDescent="0.3">
      <c r="A488">
        <v>488</v>
      </c>
      <c r="B488">
        <f t="shared" si="21"/>
        <v>2.9904940089281733</v>
      </c>
      <c r="C488">
        <f t="shared" si="22"/>
        <v>-0.98860630182936671</v>
      </c>
      <c r="D488">
        <f t="shared" si="23"/>
        <v>0.15052435013400009</v>
      </c>
    </row>
    <row r="489" spans="1:4" x14ac:dyDescent="0.3">
      <c r="A489">
        <v>489</v>
      </c>
      <c r="B489">
        <f t="shared" si="21"/>
        <v>3.0030855626499764</v>
      </c>
      <c r="C489">
        <f t="shared" si="22"/>
        <v>-0.99042321783004816</v>
      </c>
      <c r="D489">
        <f t="shared" si="23"/>
        <v>0.13806465725584124</v>
      </c>
    </row>
    <row r="490" spans="1:4" x14ac:dyDescent="0.3">
      <c r="A490">
        <v>490</v>
      </c>
      <c r="B490">
        <f t="shared" si="21"/>
        <v>3.0156771163717795</v>
      </c>
      <c r="C490">
        <f t="shared" si="22"/>
        <v>-0.99208310705253577</v>
      </c>
      <c r="D490">
        <f t="shared" si="23"/>
        <v>0.12558307489859807</v>
      </c>
    </row>
    <row r="491" spans="1:4" x14ac:dyDescent="0.3">
      <c r="A491">
        <v>491</v>
      </c>
      <c r="B491">
        <f t="shared" si="21"/>
        <v>3.0282686700935817</v>
      </c>
      <c r="C491">
        <f t="shared" si="22"/>
        <v>-0.99358570632947618</v>
      </c>
      <c r="D491">
        <f t="shared" si="23"/>
        <v>0.11308158195637352</v>
      </c>
    </row>
    <row r="492" spans="1:4" x14ac:dyDescent="0.3">
      <c r="A492">
        <v>492</v>
      </c>
      <c r="B492">
        <f t="shared" si="21"/>
        <v>3.0408602238153848</v>
      </c>
      <c r="C492">
        <f t="shared" si="22"/>
        <v>-0.99493077743107128</v>
      </c>
      <c r="D492">
        <f t="shared" si="23"/>
        <v>0.10056216047999419</v>
      </c>
    </row>
    <row r="493" spans="1:4" x14ac:dyDescent="0.3">
      <c r="A493">
        <v>493</v>
      </c>
      <c r="B493">
        <f t="shared" si="21"/>
        <v>3.0534517775371879</v>
      </c>
      <c r="C493">
        <f t="shared" si="22"/>
        <v>-0.99611810710284798</v>
      </c>
      <c r="D493">
        <f t="shared" si="23"/>
        <v>8.8026795362771124E-2</v>
      </c>
    </row>
    <row r="494" spans="1:4" x14ac:dyDescent="0.3">
      <c r="A494">
        <v>494</v>
      </c>
      <c r="B494">
        <f t="shared" si="21"/>
        <v>3.0660433312589901</v>
      </c>
      <c r="C494">
        <f t="shared" si="22"/>
        <v>-0.99714750709946842</v>
      </c>
      <c r="D494">
        <f t="shared" si="23"/>
        <v>7.5477474025801961E-2</v>
      </c>
    </row>
    <row r="495" spans="1:4" x14ac:dyDescent="0.3">
      <c r="A495">
        <v>495</v>
      </c>
      <c r="B495">
        <f t="shared" si="21"/>
        <v>3.0786348849807932</v>
      </c>
      <c r="C495">
        <f t="shared" si="22"/>
        <v>-0.99801881421457617</v>
      </c>
      <c r="D495">
        <f t="shared" si="23"/>
        <v>6.2916186102872362E-2</v>
      </c>
    </row>
    <row r="496" spans="1:4" x14ac:dyDescent="0.3">
      <c r="A496">
        <v>496</v>
      </c>
      <c r="B496">
        <f t="shared" si="21"/>
        <v>3.0912264387025963</v>
      </c>
      <c r="C496">
        <f t="shared" si="22"/>
        <v>-0.99873189030667098</v>
      </c>
      <c r="D496">
        <f t="shared" si="23"/>
        <v>5.0344923125014603E-2</v>
      </c>
    </row>
    <row r="497" spans="1:4" x14ac:dyDescent="0.3">
      <c r="A497">
        <v>497</v>
      </c>
      <c r="B497">
        <f t="shared" si="21"/>
        <v>3.1038179924243985</v>
      </c>
      <c r="C497">
        <f t="shared" si="22"/>
        <v>-0.99928662232101095</v>
      </c>
      <c r="D497">
        <f t="shared" si="23"/>
        <v>3.7765678204757333E-2</v>
      </c>
    </row>
    <row r="498" spans="1:4" x14ac:dyDescent="0.3">
      <c r="A498">
        <v>498</v>
      </c>
      <c r="B498">
        <f t="shared" si="21"/>
        <v>3.1164095461462016</v>
      </c>
      <c r="C498">
        <f t="shared" si="22"/>
        <v>-0.99968292230753641</v>
      </c>
      <c r="D498">
        <f t="shared" si="23"/>
        <v>2.5180445720124629E-2</v>
      </c>
    </row>
    <row r="499" spans="1:4" x14ac:dyDescent="0.3">
      <c r="A499">
        <v>499</v>
      </c>
      <c r="B499">
        <f t="shared" si="21"/>
        <v>3.1290010998680047</v>
      </c>
      <c r="C499">
        <f t="shared" si="22"/>
        <v>-0.99992072743481442</v>
      </c>
      <c r="D499">
        <f t="shared" si="23"/>
        <v>1.2591220998442417E-2</v>
      </c>
    </row>
    <row r="500" spans="1:4" x14ac:dyDescent="0.3">
      <c r="A500">
        <v>500</v>
      </c>
      <c r="B500">
        <f t="shared" si="21"/>
        <v>3.1415926535898069</v>
      </c>
      <c r="C500">
        <f t="shared" si="22"/>
        <v>-1</v>
      </c>
      <c r="D500">
        <f t="shared" si="23"/>
        <v>-1.3644250659861079E-14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B46E9-5897-4B26-BDE6-CC53A8FDB113}">
  <sheetPr codeName="XLSTAT_20230403_150129_1_HID"/>
  <dimension ref="A1:B19"/>
  <sheetViews>
    <sheetView workbookViewId="0"/>
  </sheetViews>
  <sheetFormatPr defaultColWidth="8.8984375" defaultRowHeight="15.6" x14ac:dyDescent="0.3"/>
  <sheetData>
    <row r="1" spans="1:2" x14ac:dyDescent="0.3">
      <c r="A1">
        <v>0.55977163088532378</v>
      </c>
      <c r="B1">
        <v>7.9552841349007045E-2</v>
      </c>
    </row>
    <row r="2" spans="1:2" x14ac:dyDescent="0.3">
      <c r="A2">
        <v>0.94571557604546996</v>
      </c>
      <c r="B2">
        <v>2.0989513773901866E-4</v>
      </c>
    </row>
    <row r="3" spans="1:2" x14ac:dyDescent="0.3">
      <c r="A3">
        <v>0.17509442552491236</v>
      </c>
      <c r="B3">
        <v>-8.8100208541380662E-2</v>
      </c>
    </row>
    <row r="4" spans="1:2" x14ac:dyDescent="0.3">
      <c r="A4">
        <v>0.12208604675592274</v>
      </c>
      <c r="B4">
        <v>-0.20980179584970926</v>
      </c>
    </row>
    <row r="5" spans="1:2" x14ac:dyDescent="0.3">
      <c r="A5">
        <v>0.31465900409556408</v>
      </c>
      <c r="B5">
        <v>3.2234596051994746E-2</v>
      </c>
    </row>
    <row r="6" spans="1:2" x14ac:dyDescent="0.3">
      <c r="A6">
        <v>0.50731816089164405</v>
      </c>
      <c r="B6">
        <v>6.9187025265412322E-3</v>
      </c>
    </row>
    <row r="7" spans="1:2" x14ac:dyDescent="0.3">
      <c r="A7">
        <v>0.66764865430652298</v>
      </c>
      <c r="B7">
        <v>0.43351259062881603</v>
      </c>
    </row>
    <row r="8" spans="1:2" x14ac:dyDescent="0.3">
      <c r="A8">
        <v>0.45949721978667446</v>
      </c>
      <c r="B8">
        <v>-4.2557256240220852E-2</v>
      </c>
    </row>
    <row r="9" spans="1:2" x14ac:dyDescent="0.3">
      <c r="A9">
        <v>0.88059526812835343</v>
      </c>
      <c r="B9">
        <v>-0.12232666723045003</v>
      </c>
    </row>
    <row r="10" spans="1:2" x14ac:dyDescent="0.3">
      <c r="A10">
        <v>0.74054737603684506</v>
      </c>
      <c r="B10">
        <v>-0.22644873864510956</v>
      </c>
    </row>
    <row r="11" spans="1:2" x14ac:dyDescent="0.3">
      <c r="A11">
        <v>0.93296667922219489</v>
      </c>
      <c r="B11">
        <v>-9.1844045643908676E-2</v>
      </c>
    </row>
    <row r="12" spans="1:2" x14ac:dyDescent="0.3">
      <c r="A12">
        <v>0.86338589394768173</v>
      </c>
      <c r="B12">
        <v>7.7087324195019534E-3</v>
      </c>
    </row>
    <row r="13" spans="1:2" x14ac:dyDescent="0.3">
      <c r="A13">
        <v>0.23874250600127694</v>
      </c>
      <c r="B13">
        <v>-0.63985978062269666</v>
      </c>
    </row>
    <row r="14" spans="1:2" x14ac:dyDescent="0.3">
      <c r="A14">
        <v>0.31434328328025329</v>
      </c>
      <c r="B14">
        <v>-0.65363307926278935</v>
      </c>
    </row>
    <row r="15" spans="1:2" x14ac:dyDescent="0.3">
      <c r="A15">
        <v>0.66318732550598958</v>
      </c>
      <c r="B15">
        <v>-0.2579092689563024</v>
      </c>
    </row>
    <row r="16" spans="1:2" x14ac:dyDescent="0.3">
      <c r="A16">
        <v>0.45731652886260998</v>
      </c>
      <c r="B16">
        <v>-0.26531645441857332</v>
      </c>
    </row>
    <row r="17" spans="1:2" x14ac:dyDescent="0.3">
      <c r="A17">
        <v>0.11938317571991694</v>
      </c>
      <c r="B17">
        <v>0.81747468262278544</v>
      </c>
    </row>
    <row r="18" spans="1:2" x14ac:dyDescent="0.3">
      <c r="A18">
        <v>0.37048954538926232</v>
      </c>
      <c r="B18">
        <v>0.83042762034610773</v>
      </c>
    </row>
    <row r="19" spans="1:2" x14ac:dyDescent="0.3">
      <c r="A19">
        <v>0.37758738917226853</v>
      </c>
      <c r="B19">
        <v>0.82781117952398042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8"/>
  <sheetViews>
    <sheetView zoomScale="85" zoomScaleNormal="85" workbookViewId="0">
      <selection activeCell="I53" sqref="I53"/>
    </sheetView>
  </sheetViews>
  <sheetFormatPr defaultColWidth="11.09765625" defaultRowHeight="15.6" x14ac:dyDescent="0.3"/>
  <cols>
    <col min="2" max="21" width="30.59765625" customWidth="1"/>
  </cols>
  <sheetData>
    <row r="1" spans="1:21" ht="16.2" thickBot="1" x14ac:dyDescent="0.35">
      <c r="A1" s="167" t="s">
        <v>46</v>
      </c>
      <c r="B1" s="167" t="s">
        <v>157</v>
      </c>
      <c r="C1" s="167" t="s">
        <v>44</v>
      </c>
      <c r="D1" s="167" t="s">
        <v>42</v>
      </c>
      <c r="E1" s="167" t="s">
        <v>48</v>
      </c>
      <c r="F1" s="169" t="s">
        <v>49</v>
      </c>
      <c r="G1" s="169" t="s">
        <v>50</v>
      </c>
      <c r="H1" s="169" t="s">
        <v>51</v>
      </c>
      <c r="I1" s="169" t="s">
        <v>52</v>
      </c>
      <c r="J1" s="170" t="s">
        <v>158</v>
      </c>
      <c r="K1" s="167" t="s">
        <v>54</v>
      </c>
      <c r="L1" s="167" t="s">
        <v>55</v>
      </c>
      <c r="M1" s="167" t="s">
        <v>45</v>
      </c>
      <c r="N1" s="167" t="s">
        <v>56</v>
      </c>
      <c r="O1" s="167" t="s">
        <v>57</v>
      </c>
      <c r="P1" s="167" t="s">
        <v>58</v>
      </c>
      <c r="Q1" s="167" t="s">
        <v>43</v>
      </c>
      <c r="R1" s="167" t="s">
        <v>59</v>
      </c>
      <c r="S1" s="167" t="s">
        <v>60</v>
      </c>
      <c r="T1" s="167" t="s">
        <v>61</v>
      </c>
      <c r="U1" s="167" t="s">
        <v>62</v>
      </c>
    </row>
    <row r="2" spans="1:21" x14ac:dyDescent="0.3">
      <c r="A2" s="1" t="s">
        <v>63</v>
      </c>
      <c r="B2" s="9">
        <v>0.45106878113553345</v>
      </c>
      <c r="C2" s="8">
        <v>1543.6646920397291</v>
      </c>
      <c r="D2" s="2">
        <v>4905.8715227322646</v>
      </c>
      <c r="E2" s="3">
        <v>7.7398146858595279E-2</v>
      </c>
      <c r="F2" s="4">
        <v>2.1804334790082085</v>
      </c>
      <c r="G2" s="4">
        <v>3.5338629850600847</v>
      </c>
      <c r="H2" s="4">
        <v>25.010698272645055</v>
      </c>
      <c r="I2" s="5">
        <v>2.6104596448151174</v>
      </c>
      <c r="J2" s="3">
        <v>0.32798236630400579</v>
      </c>
      <c r="K2" s="2">
        <v>40506.897369497121</v>
      </c>
      <c r="L2" s="2">
        <v>6120.4795221479308</v>
      </c>
      <c r="M2" s="2">
        <v>38813.762175593962</v>
      </c>
      <c r="N2" s="2">
        <v>2727.9783390794573</v>
      </c>
      <c r="O2" s="2">
        <v>25008.985930370491</v>
      </c>
      <c r="P2" s="2">
        <v>1557.4538841779508</v>
      </c>
      <c r="Q2" s="6">
        <v>132.5895687915615</v>
      </c>
      <c r="R2" s="6">
        <v>42.752137845789882</v>
      </c>
      <c r="S2" s="7">
        <v>1.03370281492507</v>
      </c>
      <c r="T2" s="2">
        <v>94.658579605533234</v>
      </c>
      <c r="U2" s="2">
        <v>45.655623421388697</v>
      </c>
    </row>
    <row r="3" spans="1:21" x14ac:dyDescent="0.3">
      <c r="A3" s="166" t="s">
        <v>64</v>
      </c>
      <c r="B3" s="9">
        <v>0.1471962655367377</v>
      </c>
      <c r="C3" s="8">
        <v>777.30308467806265</v>
      </c>
      <c r="D3" s="2">
        <v>1614.6445466288892</v>
      </c>
      <c r="E3" s="3">
        <v>9.5288266383684428E-2</v>
      </c>
      <c r="F3" s="4">
        <v>0</v>
      </c>
      <c r="G3" s="4">
        <v>0</v>
      </c>
      <c r="H3" s="4">
        <v>31.014055361161574</v>
      </c>
      <c r="I3" s="5">
        <v>2.6697187567682752</v>
      </c>
      <c r="J3" s="3" t="s">
        <v>65</v>
      </c>
      <c r="K3" s="2">
        <v>43518.355390691198</v>
      </c>
      <c r="L3" s="2">
        <v>14421.238903679263</v>
      </c>
      <c r="M3" s="2">
        <v>12697.540259894553</v>
      </c>
      <c r="N3" s="2">
        <v>1572.9801365668882</v>
      </c>
      <c r="O3" s="2">
        <v>641.15955466580021</v>
      </c>
      <c r="P3" s="2">
        <v>131.18735452644691</v>
      </c>
      <c r="Q3" s="6">
        <v>50.359753759161492</v>
      </c>
      <c r="R3" s="6">
        <v>32.164609824806007</v>
      </c>
      <c r="S3" s="7">
        <v>0.90141533792534023</v>
      </c>
      <c r="T3" s="2">
        <v>90.414117981488232</v>
      </c>
      <c r="U3" s="2">
        <v>59.865420741985439</v>
      </c>
    </row>
    <row r="4" spans="1:21" x14ac:dyDescent="0.3">
      <c r="A4" s="166" t="s">
        <v>66</v>
      </c>
      <c r="B4" s="9">
        <v>0.43053151322383792</v>
      </c>
      <c r="C4" s="8">
        <v>1496.5400104391686</v>
      </c>
      <c r="D4" s="2">
        <v>14201.23795490936</v>
      </c>
      <c r="E4" s="3">
        <v>9.5024003030036858E-2</v>
      </c>
      <c r="F4" s="4">
        <v>1.156225174093152</v>
      </c>
      <c r="G4" s="4">
        <v>6.480314241867017</v>
      </c>
      <c r="H4" s="4">
        <v>35.088708988640228</v>
      </c>
      <c r="I4" s="5">
        <v>3.9637339723409921</v>
      </c>
      <c r="J4" s="3">
        <v>0.22961536687006864</v>
      </c>
      <c r="K4" s="2">
        <v>147766.88571121212</v>
      </c>
      <c r="L4" s="2">
        <v>18807.975163079038</v>
      </c>
      <c r="M4" s="2">
        <v>117129.16089424651</v>
      </c>
      <c r="N4" s="2">
        <v>5179.1205589007013</v>
      </c>
      <c r="O4" s="2">
        <v>4799.1354649111545</v>
      </c>
      <c r="P4" s="2">
        <v>340.3900075155388</v>
      </c>
      <c r="Q4" s="6">
        <v>361.30558307929294</v>
      </c>
      <c r="R4" s="6">
        <v>105.2014277170625</v>
      </c>
      <c r="S4" s="7">
        <v>1.2388152717375058</v>
      </c>
      <c r="T4" s="2">
        <v>431.7911961588884</v>
      </c>
      <c r="U4" s="2">
        <v>241.42918128958777</v>
      </c>
    </row>
    <row r="5" spans="1:21" x14ac:dyDescent="0.3">
      <c r="A5" s="166" t="s">
        <v>67</v>
      </c>
      <c r="B5" s="9">
        <v>0.19784295602882956</v>
      </c>
      <c r="C5" s="8">
        <v>1070.974211155285</v>
      </c>
      <c r="D5" s="2">
        <v>4869.0738221310939</v>
      </c>
      <c r="E5" s="3">
        <v>7.1872277852404631E-2</v>
      </c>
      <c r="F5" s="4">
        <v>0.63585398738432908</v>
      </c>
      <c r="G5" s="4">
        <v>13.57356237964132</v>
      </c>
      <c r="H5" s="4">
        <v>17.251953251780723</v>
      </c>
      <c r="I5" s="5">
        <v>1.3245754797252767</v>
      </c>
      <c r="J5" s="3">
        <v>0.24812900266487894</v>
      </c>
      <c r="K5" s="2">
        <v>63430.508718716424</v>
      </c>
      <c r="L5" s="2">
        <v>4688.3004745979033</v>
      </c>
      <c r="M5" s="2">
        <v>26036.857492125939</v>
      </c>
      <c r="N5" s="2">
        <v>1094.638234240922</v>
      </c>
      <c r="O5" s="2">
        <v>509.19782848409022</v>
      </c>
      <c r="P5" s="2">
        <v>18.769782980439999</v>
      </c>
      <c r="Q5" s="6">
        <v>143.19871505164446</v>
      </c>
      <c r="R5" s="6">
        <v>88.168481737426958</v>
      </c>
      <c r="S5" s="7">
        <v>1.7401065136667968</v>
      </c>
      <c r="T5" s="2">
        <v>160.16354816664332</v>
      </c>
      <c r="U5" s="2">
        <v>93.249908001904032</v>
      </c>
    </row>
    <row r="6" spans="1:21" x14ac:dyDescent="0.3">
      <c r="A6" s="166" t="s">
        <v>68</v>
      </c>
      <c r="B6" s="9">
        <v>0.19805403614825118</v>
      </c>
      <c r="C6" s="8">
        <v>1112.77459307856</v>
      </c>
      <c r="D6" s="2">
        <v>8245.7382661362099</v>
      </c>
      <c r="E6" s="3">
        <v>6.7367526450994572E-2</v>
      </c>
      <c r="F6" s="4">
        <v>1.6076936165899669</v>
      </c>
      <c r="G6" s="4">
        <v>8.5624114246583787</v>
      </c>
      <c r="H6" s="4">
        <v>18.214561238977694</v>
      </c>
      <c r="I6" s="5">
        <v>2.9768641132181282</v>
      </c>
      <c r="J6" s="3">
        <v>0.29815592265955021</v>
      </c>
      <c r="K6" s="2">
        <v>123880.65341485252</v>
      </c>
      <c r="L6" s="2">
        <v>14626.269349176233</v>
      </c>
      <c r="M6" s="2">
        <v>48005.22037165839</v>
      </c>
      <c r="N6" s="2">
        <v>4881.4469107790192</v>
      </c>
      <c r="O6" s="2">
        <v>5221.0480762916668</v>
      </c>
      <c r="P6" s="2">
        <v>141.38380817064365</v>
      </c>
      <c r="Q6" s="6">
        <v>263.83079194436544</v>
      </c>
      <c r="R6" s="6">
        <v>109.71128044037862</v>
      </c>
      <c r="S6" s="7">
        <v>4.1119793795157076</v>
      </c>
      <c r="T6" s="2">
        <v>1094.4688107678758</v>
      </c>
      <c r="U6" s="2">
        <v>755.68446898847117</v>
      </c>
    </row>
    <row r="7" spans="1:21" x14ac:dyDescent="0.3">
      <c r="A7" s="166" t="s">
        <v>69</v>
      </c>
      <c r="B7" s="9">
        <v>0.19247303445275726</v>
      </c>
      <c r="C7" s="8">
        <v>1070.2434064107395</v>
      </c>
      <c r="D7" s="2">
        <v>6329.9304960188347</v>
      </c>
      <c r="E7" s="3">
        <v>7.100194796570182E-2</v>
      </c>
      <c r="F7" s="4">
        <v>2.5647932219682219</v>
      </c>
      <c r="G7" s="4">
        <v>5.7264483700479776</v>
      </c>
      <c r="H7" s="4">
        <v>13.133834281062573</v>
      </c>
      <c r="I7" s="5">
        <v>0.85711772825557797</v>
      </c>
      <c r="J7" s="3">
        <v>0.27877395529025112</v>
      </c>
      <c r="K7" s="2">
        <v>51487.582885021322</v>
      </c>
      <c r="L7" s="2">
        <v>6600.4778533860035</v>
      </c>
      <c r="M7" s="2">
        <v>41839.70154360195</v>
      </c>
      <c r="N7" s="2">
        <v>2486.0955642011809</v>
      </c>
      <c r="O7" s="2">
        <v>2480.7300054623797</v>
      </c>
      <c r="P7" s="2">
        <v>62.300598866783105</v>
      </c>
      <c r="Q7" s="6">
        <v>168.18949167573572</v>
      </c>
      <c r="R7" s="6">
        <v>107.57661804363188</v>
      </c>
      <c r="S7" s="7">
        <v>1.6278479218193536</v>
      </c>
      <c r="T7" s="2">
        <v>233.56775782261391</v>
      </c>
      <c r="U7" s="2">
        <v>144.44141718267522</v>
      </c>
    </row>
    <row r="8" spans="1:21" x14ac:dyDescent="0.3">
      <c r="A8" s="166" t="s">
        <v>70</v>
      </c>
      <c r="B8" s="9">
        <v>0.44693473555504554</v>
      </c>
      <c r="C8" s="8">
        <v>1503.8744215775203</v>
      </c>
      <c r="D8" s="2">
        <v>6189.3487510779296</v>
      </c>
      <c r="E8" s="3">
        <v>6.4923365687727427E-2</v>
      </c>
      <c r="F8" s="4">
        <v>1.9542462081318697</v>
      </c>
      <c r="G8" s="4">
        <v>6.3332520703184318</v>
      </c>
      <c r="H8" s="4">
        <v>21.981137365110939</v>
      </c>
      <c r="I8" s="5">
        <v>2.1062563398377043</v>
      </c>
      <c r="J8" s="3">
        <v>0.22687722120762993</v>
      </c>
      <c r="K8" s="2">
        <v>61786.626257764103</v>
      </c>
      <c r="L8" s="2">
        <v>7117.1030831971193</v>
      </c>
      <c r="M8" s="2">
        <v>51990.778840808489</v>
      </c>
      <c r="N8" s="2">
        <v>1568.6440973203535</v>
      </c>
      <c r="O8" s="2">
        <v>4168.0842903426237</v>
      </c>
      <c r="P8" s="2">
        <v>0</v>
      </c>
      <c r="Q8" s="6">
        <v>0</v>
      </c>
      <c r="R8" s="6">
        <v>0</v>
      </c>
      <c r="S8" s="7">
        <v>1.1712438377554515</v>
      </c>
      <c r="T8" s="2">
        <v>38.370818414707081</v>
      </c>
      <c r="U8" s="2">
        <v>19.777190691450734</v>
      </c>
    </row>
    <row r="9" spans="1:21" x14ac:dyDescent="0.3">
      <c r="A9" s="166" t="s">
        <v>27</v>
      </c>
      <c r="B9" s="9">
        <v>0.44314805386162148</v>
      </c>
      <c r="C9" s="8">
        <v>1463.2495395004203</v>
      </c>
      <c r="D9" s="2">
        <v>8898.3562478568801</v>
      </c>
      <c r="E9" s="3">
        <v>7.9042373553420572E-2</v>
      </c>
      <c r="F9" s="4">
        <v>0.29109498833817982</v>
      </c>
      <c r="G9" s="4">
        <v>6.994109046852329</v>
      </c>
      <c r="H9" s="4">
        <v>26.87114984860219</v>
      </c>
      <c r="I9" s="5">
        <v>3.233499317703687</v>
      </c>
      <c r="J9" s="3">
        <v>0.30987692995021276</v>
      </c>
      <c r="K9" s="2">
        <v>92719.720550985861</v>
      </c>
      <c r="L9" s="2">
        <v>14998.125635205677</v>
      </c>
      <c r="M9" s="2">
        <v>73110.389833408321</v>
      </c>
      <c r="N9" s="2">
        <v>5603.147860128397</v>
      </c>
      <c r="O9" s="2">
        <v>34490.292858833578</v>
      </c>
      <c r="P9" s="2">
        <v>1436.6015373105145</v>
      </c>
      <c r="Q9" s="6">
        <v>265.43938796482155</v>
      </c>
      <c r="R9" s="6">
        <v>93.101465282901543</v>
      </c>
      <c r="S9" s="7">
        <v>1.2047657720091531</v>
      </c>
      <c r="T9" s="2">
        <v>143.13228054309161</v>
      </c>
      <c r="U9" s="2">
        <v>83.177760110158459</v>
      </c>
    </row>
    <row r="10" spans="1:21" x14ac:dyDescent="0.3">
      <c r="A10" s="166" t="s">
        <v>71</v>
      </c>
      <c r="B10" s="9">
        <v>0.4510429024784367</v>
      </c>
      <c r="C10" s="8">
        <v>1566.6797750272165</v>
      </c>
      <c r="D10" s="2">
        <v>6303.0946744546973</v>
      </c>
      <c r="E10" s="3">
        <v>7.9701550783891767E-2</v>
      </c>
      <c r="F10" s="4">
        <v>0.41237216671929483</v>
      </c>
      <c r="G10" s="4">
        <v>17.793555103909178</v>
      </c>
      <c r="H10" s="4">
        <v>13.875753087244354</v>
      </c>
      <c r="I10" s="5">
        <v>4.0198439616156554</v>
      </c>
      <c r="J10" s="3">
        <v>0.26040987596753284</v>
      </c>
      <c r="K10" s="2">
        <v>61969.423089745796</v>
      </c>
      <c r="L10" s="2">
        <v>21618.724454117499</v>
      </c>
      <c r="M10" s="2">
        <v>46479.470835616608</v>
      </c>
      <c r="N10" s="2">
        <v>7706.0176369921428</v>
      </c>
      <c r="O10" s="2">
        <v>1579.9319998827605</v>
      </c>
      <c r="P10" s="2">
        <v>950.10549739908856</v>
      </c>
      <c r="Q10" s="6">
        <v>144.92393177833648</v>
      </c>
      <c r="R10" s="6">
        <v>81.904382248364001</v>
      </c>
      <c r="S10" s="7">
        <v>3.8349194110704938</v>
      </c>
      <c r="T10" s="2">
        <v>215.54262563220843</v>
      </c>
      <c r="U10" s="2">
        <v>169.17970215525347</v>
      </c>
    </row>
    <row r="11" spans="1:21" x14ac:dyDescent="0.3">
      <c r="A11" s="166" t="s">
        <v>72</v>
      </c>
      <c r="B11" s="9">
        <v>0.42870825960644365</v>
      </c>
      <c r="C11" s="8">
        <v>1545.9886457675468</v>
      </c>
      <c r="D11" s="2">
        <v>7603.1600904970328</v>
      </c>
      <c r="E11" s="3">
        <v>7.1834561451956824E-2</v>
      </c>
      <c r="F11" s="4">
        <v>1.919876232639639</v>
      </c>
      <c r="G11" s="4">
        <v>10.623099272066508</v>
      </c>
      <c r="H11" s="4">
        <v>27.853482968948381</v>
      </c>
      <c r="I11" s="5">
        <v>2.9856404586983181</v>
      </c>
      <c r="J11" s="3">
        <v>0.18681481775843531</v>
      </c>
      <c r="K11" s="2">
        <v>63668.552938072324</v>
      </c>
      <c r="L11" s="2">
        <v>2305.0053497429753</v>
      </c>
      <c r="M11" s="2">
        <v>66839.089557020372</v>
      </c>
      <c r="N11" s="2">
        <v>1588.4735293438393</v>
      </c>
      <c r="O11" s="2">
        <v>11424.275006297594</v>
      </c>
      <c r="P11" s="2">
        <v>1360.4521055165101</v>
      </c>
      <c r="Q11" s="6">
        <v>88.330703562953232</v>
      </c>
      <c r="R11" s="6">
        <v>36.391398934855388</v>
      </c>
      <c r="S11" s="7">
        <v>0.39042938300758284</v>
      </c>
      <c r="T11" s="2">
        <v>40.7301702762554</v>
      </c>
      <c r="U11" s="2">
        <v>24.473594802571746</v>
      </c>
    </row>
    <row r="12" spans="1:21" x14ac:dyDescent="0.3">
      <c r="A12" s="166" t="s">
        <v>73</v>
      </c>
      <c r="B12" s="9">
        <v>0.44418285325844359</v>
      </c>
      <c r="C12" s="8">
        <v>1543.130143001342</v>
      </c>
      <c r="D12" s="2">
        <v>13835.013071722193</v>
      </c>
      <c r="E12" s="3">
        <v>6.440256528277169E-2</v>
      </c>
      <c r="F12" s="4">
        <v>2.2106867872299598</v>
      </c>
      <c r="G12" s="4">
        <v>7.6978952864393806</v>
      </c>
      <c r="H12" s="4">
        <v>26.142586360046096</v>
      </c>
      <c r="I12" s="5">
        <v>6.9993292381362808</v>
      </c>
      <c r="J12" s="3">
        <v>0.96299639412580906</v>
      </c>
      <c r="K12" s="2">
        <v>121369.22354160783</v>
      </c>
      <c r="L12" s="2">
        <v>15450.260167523389</v>
      </c>
      <c r="M12" s="2">
        <v>121096.18168756743</v>
      </c>
      <c r="N12" s="2">
        <v>12067.07794592716</v>
      </c>
      <c r="O12" s="2">
        <v>826.93977933000588</v>
      </c>
      <c r="P12" s="2">
        <v>294.36488070354307</v>
      </c>
      <c r="Q12" s="6">
        <v>139.89229656171702</v>
      </c>
      <c r="R12" s="6">
        <v>50.409501363937039</v>
      </c>
      <c r="S12" s="7">
        <v>1.3381395639692875</v>
      </c>
      <c r="T12" s="2">
        <v>245.53181771115621</v>
      </c>
      <c r="U12" s="2">
        <v>154.129105692265</v>
      </c>
    </row>
    <row r="13" spans="1:21" x14ac:dyDescent="0.3">
      <c r="A13" s="166" t="s">
        <v>74</v>
      </c>
      <c r="B13" s="9">
        <v>0.14599035394695389</v>
      </c>
      <c r="C13" s="8">
        <v>762.32681594137625</v>
      </c>
      <c r="D13" s="2">
        <v>589.6240991823754</v>
      </c>
      <c r="E13" s="3">
        <v>0.10070042948781605</v>
      </c>
      <c r="F13" s="4">
        <v>0</v>
      </c>
      <c r="G13" s="4">
        <v>0</v>
      </c>
      <c r="H13" s="4">
        <v>1.6065840807312453</v>
      </c>
      <c r="I13" s="5">
        <v>0.76255446498989576</v>
      </c>
      <c r="J13" s="3">
        <v>0</v>
      </c>
      <c r="K13" s="2">
        <v>10461.942483550703</v>
      </c>
      <c r="L13" s="2">
        <v>789.07928419433733</v>
      </c>
      <c r="M13" s="2">
        <v>940.0644574492336</v>
      </c>
      <c r="N13" s="2">
        <v>0</v>
      </c>
      <c r="O13" s="2">
        <v>13.857607188652198</v>
      </c>
      <c r="P13" s="2">
        <v>0</v>
      </c>
      <c r="Q13" s="6">
        <v>0</v>
      </c>
      <c r="R13" s="6">
        <v>0</v>
      </c>
      <c r="S13" s="7" t="s">
        <v>65</v>
      </c>
      <c r="T13" s="2" t="s">
        <v>65</v>
      </c>
      <c r="U13" s="2" t="s">
        <v>65</v>
      </c>
    </row>
    <row r="14" spans="1:21" x14ac:dyDescent="0.3">
      <c r="A14" s="166" t="s">
        <v>75</v>
      </c>
      <c r="B14" s="9">
        <v>0.1511029964084121</v>
      </c>
      <c r="C14" s="8">
        <v>761.97069736110859</v>
      </c>
      <c r="D14" s="2">
        <v>555.46833051517433</v>
      </c>
      <c r="E14" s="3">
        <v>6.1059868538786435E-2</v>
      </c>
      <c r="F14" s="4">
        <v>3.9853785777738753</v>
      </c>
      <c r="G14" s="4">
        <v>9.873624988732054</v>
      </c>
      <c r="H14" s="4">
        <v>18.647968918693994</v>
      </c>
      <c r="I14" s="5">
        <v>0.82174355847106073</v>
      </c>
      <c r="J14" s="3">
        <v>0.31075384387650778</v>
      </c>
      <c r="K14" s="2">
        <v>24313.550727824619</v>
      </c>
      <c r="L14" s="2">
        <v>6930.0362808416012</v>
      </c>
      <c r="M14" s="2">
        <v>3165.0747162117996</v>
      </c>
      <c r="N14" s="2">
        <v>584.00463642470504</v>
      </c>
      <c r="O14" s="2">
        <v>4864.768719872598</v>
      </c>
      <c r="P14" s="2">
        <v>357.44623731867244</v>
      </c>
      <c r="Q14" s="6">
        <v>0</v>
      </c>
      <c r="R14" s="6">
        <v>0</v>
      </c>
      <c r="S14" s="7">
        <v>2.4411062480774111</v>
      </c>
      <c r="T14" s="2">
        <v>340.82971727026228</v>
      </c>
      <c r="U14" s="2">
        <v>159.07221685826624</v>
      </c>
    </row>
    <row r="15" spans="1:21" x14ac:dyDescent="0.3">
      <c r="A15" s="166" t="s">
        <v>76</v>
      </c>
      <c r="B15" s="9">
        <v>0.19038165815421354</v>
      </c>
      <c r="C15" s="8">
        <v>1104.8261949759697</v>
      </c>
      <c r="D15" s="2">
        <v>9613.9982070311125</v>
      </c>
      <c r="E15" s="3">
        <v>8.5015690308577335E-2</v>
      </c>
      <c r="F15" s="4">
        <v>1.1399527565068823</v>
      </c>
      <c r="G15" s="4">
        <v>5.4118006055844745</v>
      </c>
      <c r="H15" s="4">
        <v>20.428384806890467</v>
      </c>
      <c r="I15" s="5">
        <v>1.6600488859305489</v>
      </c>
      <c r="J15" s="3">
        <v>0.22914320389024975</v>
      </c>
      <c r="K15" s="2">
        <v>79401.36053415155</v>
      </c>
      <c r="L15" s="2">
        <v>17418.762685074696</v>
      </c>
      <c r="M15" s="2">
        <v>63528.313206223524</v>
      </c>
      <c r="N15" s="2">
        <v>5212.0058103679439</v>
      </c>
      <c r="O15" s="2">
        <v>241.16985519715291</v>
      </c>
      <c r="P15" s="2">
        <v>42.191469159453753</v>
      </c>
      <c r="Q15" s="6">
        <v>170.07518339830216</v>
      </c>
      <c r="R15" s="6">
        <v>26.843194935564881</v>
      </c>
      <c r="S15" s="7">
        <v>2.2604189350500761</v>
      </c>
      <c r="T15" s="2">
        <v>325.47077627499004</v>
      </c>
      <c r="U15" s="2">
        <v>226.24617248399267</v>
      </c>
    </row>
    <row r="16" spans="1:21" x14ac:dyDescent="0.3">
      <c r="A16" s="166" t="s">
        <v>77</v>
      </c>
      <c r="B16" s="9">
        <v>0.19097853388589306</v>
      </c>
      <c r="C16" s="8">
        <v>1035.4424292843739</v>
      </c>
      <c r="D16" s="2">
        <v>2706.6785656884049</v>
      </c>
      <c r="E16" s="3">
        <v>7.4748842717268907E-2</v>
      </c>
      <c r="F16" s="4">
        <v>0.84520736925092044</v>
      </c>
      <c r="G16" s="4">
        <v>1.5993950280816895</v>
      </c>
      <c r="H16" s="4">
        <v>18.525804328284867</v>
      </c>
      <c r="I16" s="5">
        <v>1.0272475998373276</v>
      </c>
      <c r="J16" s="3">
        <v>0.28805037373882736</v>
      </c>
      <c r="K16" s="2">
        <v>22340.849964012003</v>
      </c>
      <c r="L16" s="2">
        <v>4226.8350257935599</v>
      </c>
      <c r="M16" s="2">
        <v>10842.262427467289</v>
      </c>
      <c r="N16" s="2">
        <v>1439.1201408661082</v>
      </c>
      <c r="O16" s="2">
        <v>100.42512595675093</v>
      </c>
      <c r="P16" s="2">
        <v>12.662985956147461</v>
      </c>
      <c r="Q16" s="6">
        <v>160.76708693811415</v>
      </c>
      <c r="R16" s="6">
        <v>121.77538848815317</v>
      </c>
      <c r="S16" s="7">
        <v>1.6277590337710757</v>
      </c>
      <c r="T16" s="2">
        <v>220.58795236315802</v>
      </c>
      <c r="U16" s="2">
        <v>104.7459108281267</v>
      </c>
    </row>
    <row r="17" spans="1:21" x14ac:dyDescent="0.3">
      <c r="A17" s="166" t="s">
        <v>78</v>
      </c>
      <c r="B17" s="9">
        <v>0.43280607748582361</v>
      </c>
      <c r="C17" s="8">
        <v>1581.9945153048554</v>
      </c>
      <c r="D17" s="2">
        <v>13814.692332851082</v>
      </c>
      <c r="E17" s="3">
        <v>9.4188070219525633E-2</v>
      </c>
      <c r="F17" s="4">
        <v>3.0990856313022044</v>
      </c>
      <c r="G17" s="4">
        <v>16.159671543729718</v>
      </c>
      <c r="H17" s="4">
        <v>32.963684782869478</v>
      </c>
      <c r="I17" s="5">
        <v>4.7362610534256602</v>
      </c>
      <c r="J17" s="3">
        <v>0.40884494240021368</v>
      </c>
      <c r="K17" s="2">
        <v>135522.4618191325</v>
      </c>
      <c r="L17" s="2">
        <v>34718.772985982854</v>
      </c>
      <c r="M17" s="2">
        <v>109198.30143433674</v>
      </c>
      <c r="N17" s="2">
        <v>12137.941878113284</v>
      </c>
      <c r="O17" s="2">
        <v>3433.1446086642541</v>
      </c>
      <c r="P17" s="2">
        <v>382.92462350233228</v>
      </c>
      <c r="Q17" s="6">
        <v>285.67061572560317</v>
      </c>
      <c r="R17" s="6">
        <v>107.38773697004434</v>
      </c>
      <c r="S17" s="7">
        <v>1.5604547673389562</v>
      </c>
      <c r="T17" s="2">
        <v>382.69255110142365</v>
      </c>
      <c r="U17" s="2">
        <v>240.77246931035782</v>
      </c>
    </row>
    <row r="18" spans="1:21" x14ac:dyDescent="0.3">
      <c r="A18" s="166" t="s">
        <v>79</v>
      </c>
      <c r="B18" s="9">
        <v>0.14321894308448696</v>
      </c>
      <c r="C18" s="8">
        <v>754.65669392675534</v>
      </c>
      <c r="D18" s="2">
        <v>46.714592059130531</v>
      </c>
      <c r="E18" s="3">
        <v>9.500595155474191E-2</v>
      </c>
      <c r="F18" s="4">
        <v>1.8394351986203286</v>
      </c>
      <c r="G18" s="4">
        <v>9.0559966061956914</v>
      </c>
      <c r="H18" s="4">
        <v>20.671013247090862</v>
      </c>
      <c r="I18" s="5">
        <v>0.41172941294892412</v>
      </c>
      <c r="J18" s="3">
        <v>0</v>
      </c>
      <c r="K18" s="2">
        <v>17743.649727076157</v>
      </c>
      <c r="L18" s="2">
        <v>5241.1352580703106</v>
      </c>
      <c r="M18" s="2">
        <v>769.24966752148782</v>
      </c>
      <c r="N18" s="2">
        <v>333.70891511126064</v>
      </c>
      <c r="O18" s="2">
        <v>187.21405200676759</v>
      </c>
      <c r="P18" s="2">
        <v>4.7608960738435862</v>
      </c>
      <c r="Q18" s="6">
        <v>0</v>
      </c>
      <c r="R18" s="6">
        <v>0</v>
      </c>
      <c r="S18" s="7">
        <v>0.30125194370236108</v>
      </c>
      <c r="T18" s="2">
        <v>8.3803836744167075</v>
      </c>
      <c r="U18" s="2">
        <v>2.165655068213006</v>
      </c>
    </row>
    <row r="19" spans="1:21" x14ac:dyDescent="0.3">
      <c r="A19" s="166" t="s">
        <v>29</v>
      </c>
      <c r="B19" s="9">
        <v>0.4460675128620315</v>
      </c>
      <c r="C19" s="8">
        <v>1564.332759418515</v>
      </c>
      <c r="D19" s="2">
        <v>9291.8729619525839</v>
      </c>
      <c r="E19" s="3">
        <v>7.4626615390460657E-2</v>
      </c>
      <c r="F19" s="4">
        <v>3.1142700132462164</v>
      </c>
      <c r="G19" s="4">
        <v>4.5801944040405207</v>
      </c>
      <c r="H19" s="4">
        <v>12.760673266833575</v>
      </c>
      <c r="I19" s="5">
        <v>1.5308747305609538</v>
      </c>
      <c r="J19" s="3">
        <v>0.20193644609214195</v>
      </c>
      <c r="K19" s="2">
        <v>99230.745322473696</v>
      </c>
      <c r="L19" s="2">
        <v>15125.858513062894</v>
      </c>
      <c r="M19" s="2">
        <v>86466.088970960147</v>
      </c>
      <c r="N19" s="2">
        <v>3920.8454642632837</v>
      </c>
      <c r="O19" s="2">
        <v>19691.831045216877</v>
      </c>
      <c r="P19" s="2">
        <v>272.61818336155409</v>
      </c>
      <c r="Q19" s="6">
        <v>410.58181666261288</v>
      </c>
      <c r="R19" s="6">
        <v>250.52300278751096</v>
      </c>
      <c r="S19" s="7">
        <v>1.0888957544491238</v>
      </c>
      <c r="T19" s="2">
        <v>160.13259179900675</v>
      </c>
      <c r="U19" s="2">
        <v>80.966566785192413</v>
      </c>
    </row>
    <row r="20" spans="1:21" x14ac:dyDescent="0.3">
      <c r="A20" s="166" t="s">
        <v>80</v>
      </c>
      <c r="B20" s="9">
        <v>0.43037198049534353</v>
      </c>
      <c r="C20" s="8">
        <v>1533.136775465244</v>
      </c>
      <c r="D20" s="2">
        <v>2992.3960196394682</v>
      </c>
      <c r="E20" s="3">
        <v>2.0714460110426327E-3</v>
      </c>
      <c r="F20" s="4">
        <v>0</v>
      </c>
      <c r="G20" s="4">
        <v>0</v>
      </c>
      <c r="H20" s="4">
        <v>12.619827515848527</v>
      </c>
      <c r="I20" s="5">
        <v>0</v>
      </c>
      <c r="J20" s="3">
        <v>0.23193032243072781</v>
      </c>
      <c r="K20" s="2">
        <v>1207.3246711779541</v>
      </c>
      <c r="L20" s="2">
        <v>0</v>
      </c>
      <c r="M20" s="2">
        <v>6707.1119459735046</v>
      </c>
      <c r="N20" s="2">
        <v>89.077413869729682</v>
      </c>
      <c r="O20" s="2">
        <v>597.38364753969358</v>
      </c>
      <c r="P20" s="2">
        <v>365.84389322494587</v>
      </c>
      <c r="Q20" s="6">
        <v>0</v>
      </c>
      <c r="R20" s="6">
        <v>0</v>
      </c>
      <c r="S20" s="7">
        <v>1.7314953164410252</v>
      </c>
      <c r="T20" s="2">
        <v>111.14766299610518</v>
      </c>
      <c r="U20" s="2">
        <v>36.901447966707948</v>
      </c>
    </row>
    <row r="21" spans="1:21" x14ac:dyDescent="0.3">
      <c r="A21" s="166" t="s">
        <v>81</v>
      </c>
      <c r="B21" s="9">
        <v>0.19631914893962854</v>
      </c>
      <c r="C21" s="8">
        <v>1069.8077907245233</v>
      </c>
      <c r="D21" s="2">
        <v>4506.8536689404064</v>
      </c>
      <c r="E21" s="3">
        <v>9.3915540529134214E-2</v>
      </c>
      <c r="F21" s="4">
        <v>0.8153944613547035</v>
      </c>
      <c r="G21" s="4">
        <v>12.19094641527502</v>
      </c>
      <c r="H21" s="4">
        <v>18.795252404147913</v>
      </c>
      <c r="I21" s="5">
        <v>4.8288112105472765</v>
      </c>
      <c r="J21" s="3" t="s">
        <v>65</v>
      </c>
      <c r="K21" s="2">
        <v>39933.970829996957</v>
      </c>
      <c r="L21" s="2">
        <v>5081.2595952273696</v>
      </c>
      <c r="M21" s="2">
        <v>33777.15191985984</v>
      </c>
      <c r="N21" s="2">
        <v>2574.0511349388989</v>
      </c>
      <c r="O21" s="2">
        <v>246.26144907502845</v>
      </c>
      <c r="P21" s="2">
        <v>15.224003632288966</v>
      </c>
      <c r="Q21" s="6">
        <v>134.72902421238186</v>
      </c>
      <c r="R21" s="6">
        <v>39.060448979217981</v>
      </c>
      <c r="S21" s="7">
        <v>2.1497332932699442</v>
      </c>
      <c r="T21" s="2">
        <v>369.85114860983532</v>
      </c>
      <c r="U21" s="2">
        <v>174.98526397439363</v>
      </c>
    </row>
    <row r="22" spans="1:21" x14ac:dyDescent="0.3">
      <c r="A22" s="166" t="s">
        <v>82</v>
      </c>
      <c r="B22" s="9">
        <v>0.20512920380461938</v>
      </c>
      <c r="C22" s="8">
        <v>1089.5915997084317</v>
      </c>
      <c r="D22" s="2">
        <v>4818.8839265238094</v>
      </c>
      <c r="E22" s="3">
        <v>0.10108585737845205</v>
      </c>
      <c r="F22" s="4">
        <v>1.3308021361682025</v>
      </c>
      <c r="G22" s="4">
        <v>12.701433124158616</v>
      </c>
      <c r="H22" s="4">
        <v>25.914516023883216</v>
      </c>
      <c r="I22" s="5">
        <v>3.0203094982764997</v>
      </c>
      <c r="J22" s="3">
        <v>0.3119627825386645</v>
      </c>
      <c r="K22" s="2">
        <v>55043.264423115616</v>
      </c>
      <c r="L22" s="2">
        <v>16796.516835614337</v>
      </c>
      <c r="M22" s="2">
        <v>31656.438416286648</v>
      </c>
      <c r="N22" s="2">
        <v>4761.782885761324</v>
      </c>
      <c r="O22" s="2">
        <v>2339.1480735981277</v>
      </c>
      <c r="P22" s="2">
        <v>447.2253496591253</v>
      </c>
      <c r="Q22" s="6">
        <v>154.6879939470443</v>
      </c>
      <c r="R22" s="6">
        <v>86.729239581206869</v>
      </c>
      <c r="S22" s="7">
        <v>1.8300205798931941</v>
      </c>
      <c r="T22" s="2">
        <v>142.27253239620839</v>
      </c>
      <c r="U22" s="2">
        <v>91.508938314474179</v>
      </c>
    </row>
    <row r="23" spans="1:21" x14ac:dyDescent="0.3">
      <c r="A23" s="166" t="s">
        <v>28</v>
      </c>
      <c r="B23" s="9">
        <v>0.43263464581620215</v>
      </c>
      <c r="C23" s="8">
        <v>1579.4468608353577</v>
      </c>
      <c r="D23" s="2">
        <v>9624.2355048201262</v>
      </c>
      <c r="E23" s="3">
        <v>5.95140169688484E-2</v>
      </c>
      <c r="F23" s="4">
        <v>1.8416301920250242</v>
      </c>
      <c r="G23" s="4">
        <v>12.35512738951306</v>
      </c>
      <c r="H23" s="4">
        <v>15.637257638036971</v>
      </c>
      <c r="I23" s="5">
        <v>5.1474121081754305</v>
      </c>
      <c r="J23" s="3">
        <v>0.28574387642280141</v>
      </c>
      <c r="K23" s="2">
        <v>64417.700332574925</v>
      </c>
      <c r="L23" s="2">
        <v>8802.0772283520855</v>
      </c>
      <c r="M23" s="2">
        <v>61120.91064140846</v>
      </c>
      <c r="N23" s="2">
        <v>6904.1688661417138</v>
      </c>
      <c r="O23" s="2">
        <v>188.70728056130702</v>
      </c>
      <c r="P23" s="2">
        <v>77.325412858446512</v>
      </c>
      <c r="Q23" s="6">
        <v>72.583164734953812</v>
      </c>
      <c r="R23" s="6">
        <v>16.898171752359897</v>
      </c>
      <c r="S23" s="7">
        <v>1.2847495211576889</v>
      </c>
      <c r="T23" s="2">
        <v>445.34001044785339</v>
      </c>
      <c r="U23" s="2">
        <v>209.43930867197878</v>
      </c>
    </row>
    <row r="24" spans="1:21" x14ac:dyDescent="0.3">
      <c r="A24" s="166" t="s">
        <v>83</v>
      </c>
      <c r="B24" s="9">
        <v>0.43785194084205659</v>
      </c>
      <c r="C24" s="8">
        <v>1538.9578651955876</v>
      </c>
      <c r="D24" s="2">
        <v>13118.519325623121</v>
      </c>
      <c r="E24" s="3">
        <v>7.4374974218230569E-2</v>
      </c>
      <c r="F24" s="4">
        <v>1.7641525613787348</v>
      </c>
      <c r="G24" s="4">
        <v>4.2983287571452715</v>
      </c>
      <c r="H24" s="4">
        <v>29.422166907539836</v>
      </c>
      <c r="I24" s="5">
        <v>6.7659869490600721</v>
      </c>
      <c r="J24" s="3">
        <v>0.39769688742319875</v>
      </c>
      <c r="K24" s="2">
        <v>79657.318176471119</v>
      </c>
      <c r="L24" s="2">
        <v>13948.897813733285</v>
      </c>
      <c r="M24" s="2">
        <v>84156.506937351951</v>
      </c>
      <c r="N24" s="2">
        <v>7343.9317476127017</v>
      </c>
      <c r="O24" s="2">
        <v>188.21746603333875</v>
      </c>
      <c r="P24" s="2">
        <v>45.273280193817151</v>
      </c>
      <c r="Q24" s="6">
        <v>221.10540195649486</v>
      </c>
      <c r="R24" s="6">
        <v>91.605694207839903</v>
      </c>
      <c r="S24" s="7">
        <v>2.9929762406901945</v>
      </c>
      <c r="T24" s="2">
        <v>574.37669203456244</v>
      </c>
      <c r="U24" s="2">
        <v>354.14187612483011</v>
      </c>
    </row>
    <row r="25" spans="1:21" x14ac:dyDescent="0.3">
      <c r="A25" s="166" t="s">
        <v>84</v>
      </c>
      <c r="B25" s="9">
        <v>0.45122770157690589</v>
      </c>
      <c r="C25" s="8">
        <v>1540.0653444097336</v>
      </c>
      <c r="D25" s="2">
        <v>14996.46722420484</v>
      </c>
      <c r="E25" s="3">
        <v>8.2015471937170931E-2</v>
      </c>
      <c r="F25" s="4">
        <v>1.0472543691384031</v>
      </c>
      <c r="G25" s="4">
        <v>7.1338200110978036</v>
      </c>
      <c r="H25" s="4">
        <v>24.978611012521007</v>
      </c>
      <c r="I25" s="5">
        <v>4.8447979773547551</v>
      </c>
      <c r="J25" s="3" t="s">
        <v>65</v>
      </c>
      <c r="K25" s="2">
        <v>112986.16240456018</v>
      </c>
      <c r="L25" s="2">
        <v>8959.3033097208172</v>
      </c>
      <c r="M25" s="2">
        <v>118464.68672768491</v>
      </c>
      <c r="N25" s="2">
        <v>4130.4285130653825</v>
      </c>
      <c r="O25" s="2">
        <v>39473.111333165376</v>
      </c>
      <c r="P25" s="2">
        <v>433.78531976127488</v>
      </c>
      <c r="Q25" s="6">
        <v>277.66902672687809</v>
      </c>
      <c r="R25" s="6">
        <v>133.6677925318921</v>
      </c>
      <c r="S25" s="7">
        <v>1.1123138167123465</v>
      </c>
      <c r="T25" s="2">
        <v>368.08825884760677</v>
      </c>
      <c r="U25" s="2">
        <v>207.71173015583</v>
      </c>
    </row>
    <row r="26" spans="1:21" x14ac:dyDescent="0.3">
      <c r="A26" s="166" t="s">
        <v>85</v>
      </c>
      <c r="B26" s="9">
        <v>0.20043465871250746</v>
      </c>
      <c r="C26" s="8">
        <v>1107.1285194038619</v>
      </c>
      <c r="D26" s="2">
        <v>7661.7998353502044</v>
      </c>
      <c r="E26" s="3">
        <v>8.9682176744641184E-2</v>
      </c>
      <c r="F26" s="4">
        <v>2.0060954125811836</v>
      </c>
      <c r="G26" s="4">
        <v>7.7669836648223587</v>
      </c>
      <c r="H26" s="4">
        <v>9.8492287569880261</v>
      </c>
      <c r="I26" s="5">
        <v>2.1112612869697736</v>
      </c>
      <c r="J26" s="3">
        <v>0.33344693663405878</v>
      </c>
      <c r="K26" s="2">
        <v>95569.701773045294</v>
      </c>
      <c r="L26" s="2">
        <v>10086.311301212774</v>
      </c>
      <c r="M26" s="2">
        <v>44565.984445922033</v>
      </c>
      <c r="N26" s="2">
        <v>2178.8549155388723</v>
      </c>
      <c r="O26" s="2">
        <v>16816.911870098618</v>
      </c>
      <c r="P26" s="2">
        <v>486.24875288542768</v>
      </c>
      <c r="Q26" s="6">
        <v>317.98848134938123</v>
      </c>
      <c r="R26" s="6">
        <v>142.52169507119976</v>
      </c>
      <c r="S26" s="7">
        <v>2.8260432414205643</v>
      </c>
      <c r="T26" s="2">
        <v>265.55674977708304</v>
      </c>
      <c r="U26" s="2">
        <v>189.23055167909979</v>
      </c>
    </row>
    <row r="27" spans="1:21" x14ac:dyDescent="0.3">
      <c r="A27" s="166" t="s">
        <v>86</v>
      </c>
      <c r="B27" s="9">
        <v>0.19828239259021022</v>
      </c>
      <c r="C27" s="8">
        <v>1067.8681746651475</v>
      </c>
      <c r="D27" s="2">
        <v>7412.9333915440448</v>
      </c>
      <c r="E27" s="3">
        <v>8.4402452939959224E-2</v>
      </c>
      <c r="F27" s="4">
        <v>2.7894336460774318</v>
      </c>
      <c r="G27" s="4">
        <v>9.7399304982965358</v>
      </c>
      <c r="H27" s="4">
        <v>15.002767321400281</v>
      </c>
      <c r="I27" s="5">
        <v>1.8086168906657265</v>
      </c>
      <c r="J27" s="3">
        <v>0.19993664458155244</v>
      </c>
      <c r="K27" s="2">
        <v>84271.327462561778</v>
      </c>
      <c r="L27" s="2">
        <v>23353.495008264992</v>
      </c>
      <c r="M27" s="2">
        <v>49993.383161273174</v>
      </c>
      <c r="N27" s="2">
        <v>8806.7850618557932</v>
      </c>
      <c r="O27" s="2">
        <v>1740.5060348888364</v>
      </c>
      <c r="P27" s="2">
        <v>919.55907205799144</v>
      </c>
      <c r="Q27" s="6">
        <v>166.76248300578357</v>
      </c>
      <c r="R27" s="6">
        <v>105.53235541779544</v>
      </c>
      <c r="S27" s="7">
        <v>0.79309305752638803</v>
      </c>
      <c r="T27" s="2">
        <v>88.598054284923933</v>
      </c>
      <c r="U27" s="2">
        <v>58.846989494817784</v>
      </c>
    </row>
    <row r="28" spans="1:21" x14ac:dyDescent="0.3">
      <c r="A28" s="166" t="s">
        <v>87</v>
      </c>
      <c r="B28" s="9">
        <v>0.46548545309375511</v>
      </c>
      <c r="C28" s="8">
        <v>1584.3486577548758</v>
      </c>
      <c r="D28" s="2">
        <v>7151.246443734909</v>
      </c>
      <c r="E28" s="3">
        <v>8.7504147151021977E-2</v>
      </c>
      <c r="F28" s="4">
        <v>1.5348090594510575</v>
      </c>
      <c r="G28" s="4">
        <v>4.9685463594525112</v>
      </c>
      <c r="H28" s="4">
        <v>17.414912023224719</v>
      </c>
      <c r="I28" s="5">
        <v>5.6190879989231961</v>
      </c>
      <c r="J28" s="3">
        <v>0.29606267135069259</v>
      </c>
      <c r="K28" s="2">
        <v>74493.556400467889</v>
      </c>
      <c r="L28" s="2">
        <v>15622.35945343666</v>
      </c>
      <c r="M28" s="2">
        <v>64475.689374190471</v>
      </c>
      <c r="N28" s="2">
        <v>5230.1673756026175</v>
      </c>
      <c r="O28" s="2">
        <v>397.07531552813305</v>
      </c>
      <c r="P28" s="2">
        <v>71.009259436590284</v>
      </c>
      <c r="Q28" s="6">
        <v>173.72442402452526</v>
      </c>
      <c r="R28" s="6">
        <v>77.521952554607211</v>
      </c>
      <c r="S28" s="7">
        <v>5.6813994486795796</v>
      </c>
      <c r="T28" s="2">
        <v>772.44387076205589</v>
      </c>
      <c r="U28" s="2">
        <v>607.3098332800505</v>
      </c>
    </row>
    <row r="29" spans="1:21" x14ac:dyDescent="0.3">
      <c r="A29" s="166" t="s">
        <v>88</v>
      </c>
      <c r="B29" s="9">
        <v>0.46792321308883378</v>
      </c>
      <c r="C29" s="8">
        <v>1477.0929263948281</v>
      </c>
      <c r="D29" s="2">
        <v>13691.167650458188</v>
      </c>
      <c r="E29" s="3">
        <v>7.1962538356044756E-2</v>
      </c>
      <c r="F29" s="4">
        <v>2.7362975552136262</v>
      </c>
      <c r="G29" s="4">
        <v>10.141899205986599</v>
      </c>
      <c r="H29" s="4">
        <v>27.361468155686524</v>
      </c>
      <c r="I29" s="5">
        <v>2.02141207209415</v>
      </c>
      <c r="J29" s="3">
        <v>1.084806635682767</v>
      </c>
      <c r="K29" s="2">
        <v>98189.220860870802</v>
      </c>
      <c r="L29" s="2">
        <v>20366.449916912559</v>
      </c>
      <c r="M29" s="2">
        <v>137242.16054792239</v>
      </c>
      <c r="N29" s="2">
        <v>11810.666644880419</v>
      </c>
      <c r="O29" s="2">
        <v>19435.30746687538</v>
      </c>
      <c r="P29" s="2">
        <v>3352.2883600629084</v>
      </c>
      <c r="Q29" s="6">
        <v>346.13338839179994</v>
      </c>
      <c r="R29" s="6">
        <v>71.427507094925573</v>
      </c>
      <c r="S29" s="7">
        <v>0.98364474087481724</v>
      </c>
      <c r="T29" s="2">
        <v>62.773392182899201</v>
      </c>
      <c r="U29" s="2">
        <v>33.134158827172868</v>
      </c>
    </row>
    <row r="30" spans="1:21" x14ac:dyDescent="0.3">
      <c r="A30" s="166" t="s">
        <v>89</v>
      </c>
      <c r="B30" s="9">
        <v>0.20793645646766667</v>
      </c>
      <c r="C30" s="8">
        <v>1120.9667646993428</v>
      </c>
      <c r="D30" s="2">
        <v>2985.2112994259737</v>
      </c>
      <c r="E30" s="3">
        <v>0.11424240077061186</v>
      </c>
      <c r="F30" s="4">
        <v>0.91902973812578981</v>
      </c>
      <c r="G30" s="4">
        <v>6.1635013140109063</v>
      </c>
      <c r="H30" s="4">
        <v>14.820100249622161</v>
      </c>
      <c r="I30" s="5">
        <v>0.7040260464418876</v>
      </c>
      <c r="J30" s="3">
        <v>0.20738145197561689</v>
      </c>
      <c r="K30" s="2">
        <v>31075.483352759838</v>
      </c>
      <c r="L30" s="2">
        <v>7387.3941575120043</v>
      </c>
      <c r="M30" s="2">
        <v>14130.054437352117</v>
      </c>
      <c r="N30" s="2">
        <v>1311.1761920249344</v>
      </c>
      <c r="O30" s="2">
        <v>531.43307352457714</v>
      </c>
      <c r="P30" s="2">
        <v>252.75329085726003</v>
      </c>
      <c r="Q30" s="6">
        <v>128.55499001036881</v>
      </c>
      <c r="R30" s="6">
        <v>47.726907726219189</v>
      </c>
      <c r="S30" s="7">
        <v>2.1223774970415921</v>
      </c>
      <c r="T30" s="2">
        <v>147.31789445183233</v>
      </c>
      <c r="U30" s="2">
        <v>101.99480139117811</v>
      </c>
    </row>
    <row r="31" spans="1:21" x14ac:dyDescent="0.3">
      <c r="A31" s="166" t="s">
        <v>90</v>
      </c>
      <c r="B31" s="9">
        <v>0.42763306341589841</v>
      </c>
      <c r="C31" s="8">
        <v>1506.4383974170255</v>
      </c>
      <c r="D31" s="2">
        <v>7779.0987949738883</v>
      </c>
      <c r="E31" s="3">
        <v>8.7014362383486143E-2</v>
      </c>
      <c r="F31" s="4">
        <v>3.9989743040397858</v>
      </c>
      <c r="G31" s="4">
        <v>7.5454424130104387</v>
      </c>
      <c r="H31" s="4">
        <v>23.560685038601612</v>
      </c>
      <c r="I31" s="5">
        <v>3.1761723017606149</v>
      </c>
      <c r="J31" s="3">
        <v>0.33408041360549118</v>
      </c>
      <c r="K31" s="2">
        <v>119829.18142069246</v>
      </c>
      <c r="L31" s="2">
        <v>11873.643495995613</v>
      </c>
      <c r="M31" s="2">
        <v>63365.980453142794</v>
      </c>
      <c r="N31" s="2">
        <v>3067.2455238920538</v>
      </c>
      <c r="O31" s="2">
        <v>26369.847535152294</v>
      </c>
      <c r="P31" s="2">
        <v>1668.7044776904081</v>
      </c>
      <c r="Q31" s="6">
        <v>110.73371560327887</v>
      </c>
      <c r="R31" s="6">
        <v>60.622461502239581</v>
      </c>
      <c r="S31" s="7">
        <v>1.0760615584139701</v>
      </c>
      <c r="T31" s="2">
        <v>195.81104862167564</v>
      </c>
      <c r="U31" s="2">
        <v>117.81009875079803</v>
      </c>
    </row>
    <row r="32" spans="1:21" x14ac:dyDescent="0.3">
      <c r="A32" s="166" t="s">
        <v>91</v>
      </c>
      <c r="B32" s="9">
        <v>0.19146211096505816</v>
      </c>
      <c r="C32" s="8">
        <v>1026.8000847345529</v>
      </c>
      <c r="D32" s="2">
        <v>8101.4412057332684</v>
      </c>
      <c r="E32" s="3">
        <v>7.0839547089603133E-2</v>
      </c>
      <c r="F32" s="4">
        <v>1.3213223078580338</v>
      </c>
      <c r="G32" s="4">
        <v>9.696027221258257</v>
      </c>
      <c r="H32" s="4">
        <v>14.762608469324242</v>
      </c>
      <c r="I32" s="5">
        <v>1.5356783393655868</v>
      </c>
      <c r="J32" s="3">
        <v>0.32146497601859886</v>
      </c>
      <c r="K32" s="2">
        <v>128177.71867014685</v>
      </c>
      <c r="L32" s="2">
        <v>33069.207376345366</v>
      </c>
      <c r="M32" s="2">
        <v>56169.407767395685</v>
      </c>
      <c r="N32" s="2">
        <v>6911.1165249423875</v>
      </c>
      <c r="O32" s="2">
        <v>19126.333308510424</v>
      </c>
      <c r="P32" s="2">
        <v>1467.8287851768835</v>
      </c>
      <c r="Q32" s="6">
        <v>218.43261380029105</v>
      </c>
      <c r="R32" s="6">
        <v>144.15006643223444</v>
      </c>
      <c r="S32" s="7">
        <v>0.69368379641711164</v>
      </c>
      <c r="T32" s="2">
        <v>17.434622600028373</v>
      </c>
      <c r="U32" s="2">
        <v>10.599025456092354</v>
      </c>
    </row>
    <row r="33" spans="1:21" x14ac:dyDescent="0.3">
      <c r="A33" s="166" t="s">
        <v>92</v>
      </c>
      <c r="B33" s="9">
        <v>0.46743158167887983</v>
      </c>
      <c r="C33" s="8">
        <v>1527.643155211239</v>
      </c>
      <c r="D33" s="2">
        <v>6730.2161755300667</v>
      </c>
      <c r="E33" s="3">
        <v>6.4718186807462469E-2</v>
      </c>
      <c r="F33" s="4">
        <v>4.8847726996480594</v>
      </c>
      <c r="G33" s="4">
        <v>7.6600756666012044</v>
      </c>
      <c r="H33" s="4">
        <v>20.323529135525554</v>
      </c>
      <c r="I33" s="5">
        <v>2.3623622429204869</v>
      </c>
      <c r="J33" s="3">
        <v>0.22268763185417395</v>
      </c>
      <c r="K33" s="2">
        <v>78538.147078407812</v>
      </c>
      <c r="L33" s="2">
        <v>26163.262784657381</v>
      </c>
      <c r="M33" s="2">
        <v>57920.998596171819</v>
      </c>
      <c r="N33" s="2">
        <v>7760.1376616265507</v>
      </c>
      <c r="O33" s="2">
        <v>6699.0479365288775</v>
      </c>
      <c r="P33" s="2">
        <v>1605.487442384672</v>
      </c>
      <c r="Q33" s="6">
        <v>120.23581026913766</v>
      </c>
      <c r="R33" s="6">
        <v>43.175849910904347</v>
      </c>
      <c r="S33" s="7">
        <v>0.99234676966958157</v>
      </c>
      <c r="T33" s="2">
        <v>163.83943671668527</v>
      </c>
      <c r="U33" s="2">
        <v>108.36699978916916</v>
      </c>
    </row>
    <row r="34" spans="1:21" x14ac:dyDescent="0.3">
      <c r="A34" s="166" t="s">
        <v>93</v>
      </c>
      <c r="B34" s="9">
        <v>0.20198356759669092</v>
      </c>
      <c r="C34" s="8">
        <v>1083.3944698314751</v>
      </c>
      <c r="D34" s="2">
        <v>10076.963024612111</v>
      </c>
      <c r="E34" s="3">
        <v>9.1015735762656355E-2</v>
      </c>
      <c r="F34" s="4">
        <v>1.0286458925041804</v>
      </c>
      <c r="G34" s="4">
        <v>4.3664593135986633</v>
      </c>
      <c r="H34" s="4">
        <v>11.258894523844038</v>
      </c>
      <c r="I34" s="5">
        <v>1.4783785134278657</v>
      </c>
      <c r="J34" s="3">
        <v>0</v>
      </c>
      <c r="K34" s="2">
        <v>155263.31248319233</v>
      </c>
      <c r="L34" s="2">
        <v>37998.459430133713</v>
      </c>
      <c r="M34" s="2">
        <v>63476.053609370334</v>
      </c>
      <c r="N34" s="2">
        <v>3777.4223476481311</v>
      </c>
      <c r="O34" s="2">
        <v>22540.419761141427</v>
      </c>
      <c r="P34" s="2">
        <v>1190.1978835399718</v>
      </c>
      <c r="Q34" s="6">
        <v>721.5514280368111</v>
      </c>
      <c r="R34" s="6">
        <v>342.48010378739815</v>
      </c>
      <c r="S34" s="7">
        <v>0.73610178081109168</v>
      </c>
      <c r="T34" s="2">
        <v>116.76045835689946</v>
      </c>
      <c r="U34" s="2">
        <v>68.993852133285159</v>
      </c>
    </row>
    <row r="35" spans="1:21" x14ac:dyDescent="0.3">
      <c r="A35" s="166" t="s">
        <v>94</v>
      </c>
      <c r="B35" s="9">
        <v>0.14930081215524948</v>
      </c>
      <c r="C35" s="8">
        <v>767.14322992580833</v>
      </c>
      <c r="D35" s="2">
        <v>937.57932975501853</v>
      </c>
      <c r="E35" s="3">
        <v>8.9105128507279613E-2</v>
      </c>
      <c r="F35" s="4">
        <v>2.8915046189429652</v>
      </c>
      <c r="G35" s="4">
        <v>5.6893766599115665</v>
      </c>
      <c r="H35" s="4">
        <v>18.031801170622067</v>
      </c>
      <c r="I35" s="5">
        <v>0.34004021357759584</v>
      </c>
      <c r="J35" s="3">
        <v>0.32699121416354004</v>
      </c>
      <c r="K35" s="2">
        <v>32823.257289187168</v>
      </c>
      <c r="L35" s="2">
        <v>5403.7532034488622</v>
      </c>
      <c r="M35" s="2">
        <v>5756.3499334227363</v>
      </c>
      <c r="N35" s="2">
        <v>171.93413402521489</v>
      </c>
      <c r="O35" s="2">
        <v>713.97137970710355</v>
      </c>
      <c r="P35" s="2">
        <v>2.1176931750465275</v>
      </c>
      <c r="Q35" s="6">
        <v>0</v>
      </c>
      <c r="R35" s="6">
        <v>0</v>
      </c>
      <c r="S35" s="7">
        <v>0.43266788646343857</v>
      </c>
      <c r="T35" s="2">
        <v>38.561659687605299</v>
      </c>
      <c r="U35" s="2">
        <v>31.361788576254057</v>
      </c>
    </row>
    <row r="36" spans="1:21" x14ac:dyDescent="0.3">
      <c r="A36" s="166" t="s">
        <v>95</v>
      </c>
      <c r="B36" s="9">
        <v>0.19560339953692105</v>
      </c>
      <c r="C36" s="8">
        <v>1046.6706992138597</v>
      </c>
      <c r="D36" s="2">
        <v>7018.6453746480965</v>
      </c>
      <c r="E36" s="3">
        <v>7.9938868393827051E-2</v>
      </c>
      <c r="F36" s="4">
        <v>2.3797686230161625</v>
      </c>
      <c r="G36" s="4">
        <v>12.087383505219531</v>
      </c>
      <c r="H36" s="4">
        <v>22.878779425237997</v>
      </c>
      <c r="I36" s="5">
        <v>1.4218245389926152</v>
      </c>
      <c r="J36" s="3">
        <v>0.25139369018234708</v>
      </c>
      <c r="K36" s="2">
        <v>98927.00681310278</v>
      </c>
      <c r="L36" s="2">
        <v>17267.567306363107</v>
      </c>
      <c r="M36" s="2">
        <v>49749.572214732187</v>
      </c>
      <c r="N36" s="2">
        <v>6327.4143874367473</v>
      </c>
      <c r="O36" s="2">
        <v>420.50940749900008</v>
      </c>
      <c r="P36" s="2">
        <v>152.39958426723078</v>
      </c>
      <c r="Q36" s="6">
        <v>247.65485566344645</v>
      </c>
      <c r="R36" s="6">
        <v>151.81266242618725</v>
      </c>
      <c r="S36" s="7">
        <v>2.2404192328862016</v>
      </c>
      <c r="T36" s="2">
        <v>264.23321705181621</v>
      </c>
      <c r="U36" s="2">
        <v>139.60618100760445</v>
      </c>
    </row>
    <row r="37" spans="1:21" x14ac:dyDescent="0.3">
      <c r="A37" s="166" t="s">
        <v>96</v>
      </c>
      <c r="B37" s="9">
        <v>0.1494722015820468</v>
      </c>
      <c r="C37" s="8">
        <v>744.21991299828346</v>
      </c>
      <c r="D37" s="2">
        <v>1443.7562645391799</v>
      </c>
      <c r="E37" s="3">
        <v>6.024058438806635E-2</v>
      </c>
      <c r="F37" s="4">
        <v>3.8590999371214347</v>
      </c>
      <c r="G37" s="4">
        <v>5.1086202308241062E-2</v>
      </c>
      <c r="H37" s="4">
        <v>15.9874063129721</v>
      </c>
      <c r="I37" s="5">
        <v>1.3100158267555424</v>
      </c>
      <c r="J37" s="3">
        <v>0.36050063986723524</v>
      </c>
      <c r="K37" s="2">
        <v>45299.841772986423</v>
      </c>
      <c r="L37" s="2">
        <v>15135.548239733649</v>
      </c>
      <c r="M37" s="2">
        <v>7437.0521511753595</v>
      </c>
      <c r="N37" s="2">
        <v>1503.0352447086987</v>
      </c>
      <c r="O37" s="2">
        <v>3694.1880619760591</v>
      </c>
      <c r="P37" s="2">
        <v>397.40253176537368</v>
      </c>
      <c r="Q37" s="6">
        <v>34.36616511003281</v>
      </c>
      <c r="R37" s="6">
        <v>23.066247454078262</v>
      </c>
      <c r="S37" s="7" t="s">
        <v>65</v>
      </c>
      <c r="T37" s="2" t="s">
        <v>65</v>
      </c>
      <c r="U37" s="2" t="s">
        <v>65</v>
      </c>
    </row>
    <row r="38" spans="1:21" x14ac:dyDescent="0.3">
      <c r="A38" s="166" t="s">
        <v>97</v>
      </c>
      <c r="B38" s="9">
        <v>0.46503049816055836</v>
      </c>
      <c r="C38" s="8">
        <v>1476.1021500887864</v>
      </c>
      <c r="D38" s="2">
        <v>16667.597709999853</v>
      </c>
      <c r="E38" s="3">
        <v>7.391625602514873E-2</v>
      </c>
      <c r="F38" s="4">
        <v>1.9987570555685874</v>
      </c>
      <c r="G38" s="4">
        <v>12.140663131931603</v>
      </c>
      <c r="H38" s="4">
        <v>29.518270170808854</v>
      </c>
      <c r="I38" s="5">
        <v>2.8725581353840441</v>
      </c>
      <c r="J38" s="3">
        <v>0.34628541040012822</v>
      </c>
      <c r="K38" s="2">
        <v>179034.03277100634</v>
      </c>
      <c r="L38" s="2">
        <v>31682.21188316671</v>
      </c>
      <c r="M38" s="2">
        <v>148288.37601287768</v>
      </c>
      <c r="N38" s="2">
        <v>13562.442801231638</v>
      </c>
      <c r="O38" s="2">
        <v>1745.7909185894623</v>
      </c>
      <c r="P38" s="2">
        <v>159.70002866654309</v>
      </c>
      <c r="Q38" s="6">
        <v>373.85537442078197</v>
      </c>
      <c r="R38" s="6">
        <v>146.5543246975808</v>
      </c>
      <c r="S38" s="7">
        <v>1.5543380589129157</v>
      </c>
      <c r="T38" s="2">
        <v>404.36290176052881</v>
      </c>
      <c r="U38" s="2">
        <v>277.40407277245487</v>
      </c>
    </row>
  </sheetData>
  <sortState xmlns:xlrd2="http://schemas.microsoft.com/office/spreadsheetml/2017/richdata2" ref="A2:S38">
    <sortCondition ref="A2:A38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8F1FA-BB26-4519-BCE6-8933CAF94638}">
  <sheetPr codeName="Sheet1"/>
  <dimension ref="A1:K23"/>
  <sheetViews>
    <sheetView workbookViewId="0">
      <selection activeCell="F30" sqref="F30"/>
    </sheetView>
  </sheetViews>
  <sheetFormatPr defaultColWidth="8.8984375" defaultRowHeight="15.6" x14ac:dyDescent="0.3"/>
  <cols>
    <col min="5" max="5" width="14.3984375" customWidth="1"/>
    <col min="8" max="8" width="35.59765625" customWidth="1"/>
    <col min="11" max="11" width="35.59765625" customWidth="1"/>
  </cols>
  <sheetData>
    <row r="1" spans="1:11" x14ac:dyDescent="0.3">
      <c r="A1" s="12"/>
    </row>
    <row r="11" spans="1:11" ht="15.6" customHeight="1" thickBot="1" x14ac:dyDescent="0.35"/>
    <row r="12" spans="1:11" ht="16.2" thickBot="1" x14ac:dyDescent="0.35">
      <c r="E12" s="13" t="s">
        <v>46</v>
      </c>
      <c r="H12" s="13" t="s">
        <v>159</v>
      </c>
      <c r="K12" s="13" t="s">
        <v>160</v>
      </c>
    </row>
    <row r="13" spans="1:11" ht="16.2" thickBot="1" x14ac:dyDescent="0.35">
      <c r="E13" s="10" t="s">
        <v>67</v>
      </c>
      <c r="H13" s="11" t="s">
        <v>54</v>
      </c>
      <c r="K13" s="11"/>
    </row>
    <row r="23" ht="15.6" customHeight="1" x14ac:dyDescent="0.3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C4C12C-ADBF-46EF-A52C-D4411C7B3BCB}">
          <x14:formula1>
            <xm:f>'REF LIST'!$B$1:$U$1</xm:f>
          </x14:formula1>
          <xm:sqref>H13 K13</xm:sqref>
        </x14:dataValidation>
        <x14:dataValidation type="list" allowBlank="1" showInputMessage="1" showErrorMessage="1" xr:uid="{6042D461-898E-4CEA-945C-1B144C40A2D5}">
          <x14:formula1>
            <xm:f>'REF LIST'!$A$2:$A$38</xm:f>
          </x14:formula1>
          <xm:sqref>E13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2A6F-1357-48EC-80D7-D42EDAA3F9DD}">
  <sheetPr codeName="Sheet8"/>
  <dimension ref="A1:K22"/>
  <sheetViews>
    <sheetView workbookViewId="0">
      <selection activeCell="A16" sqref="A16"/>
    </sheetView>
  </sheetViews>
  <sheetFormatPr defaultColWidth="8.8984375" defaultRowHeight="15.6" x14ac:dyDescent="0.3"/>
  <cols>
    <col min="1" max="1" width="32.8984375" bestFit="1" customWidth="1"/>
    <col min="2" max="2" width="49" bestFit="1" customWidth="1"/>
    <col min="3" max="3" width="10" customWidth="1"/>
  </cols>
  <sheetData>
    <row r="1" spans="1:11" x14ac:dyDescent="0.3">
      <c r="A1" s="20" t="s">
        <v>161</v>
      </c>
      <c r="B1" s="20" t="s">
        <v>162</v>
      </c>
      <c r="G1" t="s">
        <v>163</v>
      </c>
      <c r="K1" t="s">
        <v>164</v>
      </c>
    </row>
    <row r="2" spans="1:11" x14ac:dyDescent="0.3">
      <c r="A2" t="s">
        <v>46</v>
      </c>
      <c r="B2" t="s">
        <v>165</v>
      </c>
      <c r="H2" t="str" cm="1">
        <f t="array" ref="H2:H19">_xlfn._xlws.FILTER(A2:A22,A2:A22&lt;&gt;J2:J22)</f>
        <v>Surgical Cases</v>
      </c>
      <c r="J2" t="s">
        <v>46</v>
      </c>
    </row>
    <row r="3" spans="1:11" x14ac:dyDescent="0.3">
      <c r="A3" t="s">
        <v>47</v>
      </c>
      <c r="B3" t="s">
        <v>166</v>
      </c>
      <c r="H3" t="str">
        <v>Death Rate</v>
      </c>
      <c r="J3" t="s">
        <v>47</v>
      </c>
    </row>
    <row r="4" spans="1:11" x14ac:dyDescent="0.3">
      <c r="A4" t="s">
        <v>44</v>
      </c>
      <c r="B4" t="s">
        <v>167</v>
      </c>
      <c r="H4" t="str">
        <v>Cardiac Arrest Rate</v>
      </c>
      <c r="J4" t="s">
        <v>44</v>
      </c>
    </row>
    <row r="5" spans="1:11" x14ac:dyDescent="0.3">
      <c r="A5" t="s">
        <v>42</v>
      </c>
      <c r="B5" t="s">
        <v>168</v>
      </c>
      <c r="H5" t="str">
        <v xml:space="preserve"> Post-Surgery AMI Rate</v>
      </c>
    </row>
    <row r="6" spans="1:11" x14ac:dyDescent="0.3">
      <c r="A6" t="s">
        <v>48</v>
      </c>
      <c r="B6" t="s">
        <v>169</v>
      </c>
      <c r="H6" t="str">
        <v>Surgical Site Infections Rate</v>
      </c>
    </row>
    <row r="7" spans="1:11" x14ac:dyDescent="0.3">
      <c r="A7" t="s">
        <v>49</v>
      </c>
      <c r="B7" t="s">
        <v>170</v>
      </c>
      <c r="H7" t="str">
        <v>Sepsis Rate</v>
      </c>
    </row>
    <row r="8" spans="1:11" ht="46.8" x14ac:dyDescent="0.3">
      <c r="A8" t="s">
        <v>50</v>
      </c>
      <c r="B8" s="12" t="s">
        <v>171</v>
      </c>
      <c r="H8" t="str">
        <v>C-Section 
Rate</v>
      </c>
    </row>
    <row r="9" spans="1:11" x14ac:dyDescent="0.3">
      <c r="A9" t="s">
        <v>51</v>
      </c>
      <c r="B9" t="s">
        <v>172</v>
      </c>
      <c r="H9" t="str">
        <v>Total Medical Inpatient Days</v>
      </c>
    </row>
    <row r="10" spans="1:11" x14ac:dyDescent="0.3">
      <c r="A10" t="s">
        <v>52</v>
      </c>
      <c r="B10" t="s">
        <v>173</v>
      </c>
      <c r="H10" t="str">
        <v>Medical 
ALC Days</v>
      </c>
    </row>
    <row r="11" spans="1:11" x14ac:dyDescent="0.3">
      <c r="A11" t="s">
        <v>53</v>
      </c>
      <c r="B11" t="s">
        <v>174</v>
      </c>
      <c r="H11" t="str">
        <v>Total Surgical Inpatient Days</v>
      </c>
    </row>
    <row r="12" spans="1:11" x14ac:dyDescent="0.3">
      <c r="A12" t="s">
        <v>54</v>
      </c>
      <c r="B12" t="s">
        <v>175</v>
      </c>
      <c r="H12" t="str">
        <v>Surgical ALC Days</v>
      </c>
    </row>
    <row r="13" spans="1:11" x14ac:dyDescent="0.3">
      <c r="A13" t="s">
        <v>55</v>
      </c>
      <c r="B13" t="s">
        <v>175</v>
      </c>
      <c r="H13" t="str">
        <v>Total Mental Health Inpatient Days</v>
      </c>
    </row>
    <row r="14" spans="1:11" x14ac:dyDescent="0.3">
      <c r="A14" t="s">
        <v>45</v>
      </c>
      <c r="B14" t="s">
        <v>176</v>
      </c>
      <c r="H14" t="str">
        <v>Mental Health ALC Days</v>
      </c>
    </row>
    <row r="15" spans="1:11" x14ac:dyDescent="0.3">
      <c r="A15" t="s">
        <v>56</v>
      </c>
      <c r="B15" t="s">
        <v>177</v>
      </c>
      <c r="H15" t="str">
        <v>Hip Fracture Cases</v>
      </c>
    </row>
    <row r="16" spans="1:11" x14ac:dyDescent="0.3">
      <c r="A16" t="s">
        <v>57</v>
      </c>
      <c r="B16" t="s">
        <v>178</v>
      </c>
      <c r="H16" t="str">
        <v>Hip Fracture Cases with Surgery in 24h</v>
      </c>
    </row>
    <row r="17" spans="1:8" x14ac:dyDescent="0.3">
      <c r="A17" t="s">
        <v>58</v>
      </c>
      <c r="B17" t="s">
        <v>179</v>
      </c>
      <c r="H17" t="str">
        <v>Median ED Delay (Hours)</v>
      </c>
    </row>
    <row r="18" spans="1:8" x14ac:dyDescent="0.3">
      <c r="A18" t="s">
        <v>43</v>
      </c>
      <c r="B18" t="s">
        <v>180</v>
      </c>
      <c r="H18" t="str">
        <v>Actual Cases with ED delay &gt;= 2 Hours</v>
      </c>
    </row>
    <row r="19" spans="1:8" x14ac:dyDescent="0.3">
      <c r="A19" t="s">
        <v>59</v>
      </c>
      <c r="B19" t="s">
        <v>181</v>
      </c>
      <c r="H19" t="str">
        <v>Actual Cases with ED delay &gt;=4 Hours</v>
      </c>
    </row>
    <row r="20" spans="1:8" x14ac:dyDescent="0.3">
      <c r="A20" t="s">
        <v>60</v>
      </c>
      <c r="B20" t="s">
        <v>182</v>
      </c>
    </row>
    <row r="21" spans="1:8" x14ac:dyDescent="0.3">
      <c r="A21" t="s">
        <v>61</v>
      </c>
      <c r="B21" t="s">
        <v>183</v>
      </c>
    </row>
    <row r="22" spans="1:8" x14ac:dyDescent="0.3">
      <c r="A22" t="s">
        <v>62</v>
      </c>
      <c r="B22" t="s">
        <v>184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D7EC5-31F6-4F10-85D4-F1B0B301050F}">
  <sheetPr codeName="Sheet20"/>
  <dimension ref="A1:V37"/>
  <sheetViews>
    <sheetView zoomScale="85" zoomScaleNormal="85" workbookViewId="0">
      <selection activeCell="Z25" sqref="Z25"/>
    </sheetView>
  </sheetViews>
  <sheetFormatPr defaultRowHeight="15.6" x14ac:dyDescent="0.3"/>
  <cols>
    <col min="2" max="2" width="19.09765625" customWidth="1"/>
    <col min="3" max="3" width="9.69921875" customWidth="1"/>
  </cols>
  <sheetData>
    <row r="1" spans="1:22" ht="66.599999999999994" thickBot="1" x14ac:dyDescent="0.35">
      <c r="A1" s="180" t="s">
        <v>194</v>
      </c>
      <c r="B1" s="44" t="s">
        <v>6</v>
      </c>
      <c r="C1" s="45" t="s">
        <v>47</v>
      </c>
      <c r="D1" s="46" t="s">
        <v>44</v>
      </c>
      <c r="E1" s="46" t="s">
        <v>42</v>
      </c>
      <c r="F1" s="46" t="s">
        <v>48</v>
      </c>
      <c r="G1" s="46" t="s">
        <v>49</v>
      </c>
      <c r="H1" s="46" t="s">
        <v>50</v>
      </c>
      <c r="I1" s="46" t="s">
        <v>51</v>
      </c>
      <c r="J1" s="46" t="s">
        <v>52</v>
      </c>
      <c r="K1" s="46" t="s">
        <v>53</v>
      </c>
      <c r="L1" s="47" t="s">
        <v>54</v>
      </c>
      <c r="M1" s="46" t="s">
        <v>55</v>
      </c>
      <c r="N1" s="47" t="s">
        <v>45</v>
      </c>
      <c r="O1" s="46" t="s">
        <v>56</v>
      </c>
      <c r="P1" s="47" t="s">
        <v>57</v>
      </c>
      <c r="Q1" s="46" t="s">
        <v>58</v>
      </c>
      <c r="R1" s="46" t="s">
        <v>43</v>
      </c>
      <c r="S1" s="46" t="s">
        <v>59</v>
      </c>
      <c r="T1" s="46" t="s">
        <v>60</v>
      </c>
      <c r="U1" s="46" t="s">
        <v>61</v>
      </c>
      <c r="V1" s="48" t="s">
        <v>62</v>
      </c>
    </row>
    <row r="2" spans="1:22" x14ac:dyDescent="0.3">
      <c r="A2" s="217" t="s">
        <v>188</v>
      </c>
      <c r="B2" s="186" t="s">
        <v>68</v>
      </c>
      <c r="C2" s="187">
        <v>0.19805403614825118</v>
      </c>
      <c r="D2" s="188">
        <v>1112.77459307856</v>
      </c>
      <c r="E2" s="188">
        <v>8245.7382661362099</v>
      </c>
      <c r="F2" s="188">
        <v>6.7367526450994572E-2</v>
      </c>
      <c r="G2" s="188">
        <v>1.6076936165899669</v>
      </c>
      <c r="H2" s="188">
        <v>8.5624114246583787</v>
      </c>
      <c r="I2" s="188">
        <v>18.214561238977694</v>
      </c>
      <c r="J2" s="188">
        <v>2.9768641132181282</v>
      </c>
      <c r="K2" s="188">
        <v>0.29815592265955021</v>
      </c>
      <c r="L2" s="188">
        <v>123880.65341485252</v>
      </c>
      <c r="M2" s="188">
        <v>14626.269349176233</v>
      </c>
      <c r="N2" s="188">
        <v>48005.22037165839</v>
      </c>
      <c r="O2" s="188">
        <v>4881.4469107790192</v>
      </c>
      <c r="P2" s="188">
        <v>5221.0480762916668</v>
      </c>
      <c r="Q2" s="188">
        <v>141.38380817064365</v>
      </c>
      <c r="R2" s="188">
        <v>263.83079194436544</v>
      </c>
      <c r="S2" s="188">
        <v>109.71128044037862</v>
      </c>
      <c r="T2" s="188">
        <v>4.1119793795157076</v>
      </c>
      <c r="U2" s="188">
        <v>1094.4688107678758</v>
      </c>
      <c r="V2" s="189">
        <v>755.68446898847117</v>
      </c>
    </row>
    <row r="3" spans="1:22" x14ac:dyDescent="0.3">
      <c r="A3" s="218"/>
      <c r="B3" s="190" t="s">
        <v>76</v>
      </c>
      <c r="C3" s="191">
        <v>0.19038165815421354</v>
      </c>
      <c r="D3" s="192">
        <v>1104.8261949759697</v>
      </c>
      <c r="E3" s="192">
        <v>9613.9982070311125</v>
      </c>
      <c r="F3" s="192">
        <v>8.5015690308577335E-2</v>
      </c>
      <c r="G3" s="192">
        <v>1.1399527565068823</v>
      </c>
      <c r="H3" s="192">
        <v>5.4118006055844745</v>
      </c>
      <c r="I3" s="192">
        <v>20.428384806890467</v>
      </c>
      <c r="J3" s="192">
        <v>1.6600488859305489</v>
      </c>
      <c r="K3" s="192">
        <v>0.22914320389024975</v>
      </c>
      <c r="L3" s="192">
        <v>79401.36053415155</v>
      </c>
      <c r="M3" s="192">
        <v>17418.762685074696</v>
      </c>
      <c r="N3" s="192">
        <v>63528.313206223524</v>
      </c>
      <c r="O3" s="192">
        <v>5212.0058103679439</v>
      </c>
      <c r="P3" s="192">
        <v>241.16985519715291</v>
      </c>
      <c r="Q3" s="192">
        <v>42.191469159453753</v>
      </c>
      <c r="R3" s="192">
        <v>170.07518339830216</v>
      </c>
      <c r="S3" s="192">
        <v>26.843194935564881</v>
      </c>
      <c r="T3" s="192">
        <v>2.2604189350500761</v>
      </c>
      <c r="U3" s="192">
        <v>325.47077627499004</v>
      </c>
      <c r="V3" s="193">
        <v>226.24617248399267</v>
      </c>
    </row>
    <row r="4" spans="1:22" x14ac:dyDescent="0.3">
      <c r="A4" s="218"/>
      <c r="B4" s="190" t="s">
        <v>85</v>
      </c>
      <c r="C4" s="191">
        <v>0.20043465871250746</v>
      </c>
      <c r="D4" s="192">
        <v>1107.1285194038619</v>
      </c>
      <c r="E4" s="192">
        <v>7661.7998353502044</v>
      </c>
      <c r="F4" s="192">
        <v>8.9682176744641184E-2</v>
      </c>
      <c r="G4" s="192">
        <v>2.0060954125811836</v>
      </c>
      <c r="H4" s="192">
        <v>7.7669836648223587</v>
      </c>
      <c r="I4" s="192">
        <v>9.8492287569880261</v>
      </c>
      <c r="J4" s="192">
        <v>2.1112612869697736</v>
      </c>
      <c r="K4" s="192">
        <v>0.33344693663405878</v>
      </c>
      <c r="L4" s="192">
        <v>95569.701773045294</v>
      </c>
      <c r="M4" s="192">
        <v>10086.311301212774</v>
      </c>
      <c r="N4" s="192">
        <v>44565.984445922033</v>
      </c>
      <c r="O4" s="192">
        <v>2178.8549155388723</v>
      </c>
      <c r="P4" s="192">
        <v>16816.911870098618</v>
      </c>
      <c r="Q4" s="192">
        <v>486.24875288542768</v>
      </c>
      <c r="R4" s="192">
        <v>317.98848134938123</v>
      </c>
      <c r="S4" s="192">
        <v>142.52169507119976</v>
      </c>
      <c r="T4" s="192">
        <v>2.8260432414205643</v>
      </c>
      <c r="U4" s="192">
        <v>265.55674977708304</v>
      </c>
      <c r="V4" s="193">
        <v>189.23055167909979</v>
      </c>
    </row>
    <row r="5" spans="1:22" x14ac:dyDescent="0.3">
      <c r="A5" s="218"/>
      <c r="B5" s="190" t="s">
        <v>86</v>
      </c>
      <c r="C5" s="191">
        <v>0.19828239259021022</v>
      </c>
      <c r="D5" s="192">
        <v>1067.8681746651475</v>
      </c>
      <c r="E5" s="192">
        <v>7412.9333915440448</v>
      </c>
      <c r="F5" s="192">
        <v>8.4402452939959224E-2</v>
      </c>
      <c r="G5" s="192">
        <v>2.7894336460774318</v>
      </c>
      <c r="H5" s="192">
        <v>9.7399304982965358</v>
      </c>
      <c r="I5" s="192">
        <v>15.002767321400281</v>
      </c>
      <c r="J5" s="192">
        <v>1.8086168906657265</v>
      </c>
      <c r="K5" s="192">
        <v>0.19993664458155244</v>
      </c>
      <c r="L5" s="192">
        <v>84271.327462561778</v>
      </c>
      <c r="M5" s="192">
        <v>23353.495008264992</v>
      </c>
      <c r="N5" s="192">
        <v>49993.383161273174</v>
      </c>
      <c r="O5" s="192">
        <v>8806.7850618557932</v>
      </c>
      <c r="P5" s="192">
        <v>1740.5060348888364</v>
      </c>
      <c r="Q5" s="192">
        <v>919.55907205799144</v>
      </c>
      <c r="R5" s="192">
        <v>166.76248300578357</v>
      </c>
      <c r="S5" s="192">
        <v>105.53235541779544</v>
      </c>
      <c r="T5" s="192">
        <v>0.79309305752638803</v>
      </c>
      <c r="U5" s="192">
        <v>88.598054284923933</v>
      </c>
      <c r="V5" s="193">
        <v>58.846989494817784</v>
      </c>
    </row>
    <row r="6" spans="1:22" x14ac:dyDescent="0.3">
      <c r="A6" s="218"/>
      <c r="B6" s="190" t="s">
        <v>91</v>
      </c>
      <c r="C6" s="191">
        <v>0.19146211096505816</v>
      </c>
      <c r="D6" s="192">
        <v>1026.8000847345529</v>
      </c>
      <c r="E6" s="192">
        <v>8101.4412057332684</v>
      </c>
      <c r="F6" s="192">
        <v>7.0839547089603133E-2</v>
      </c>
      <c r="G6" s="192">
        <v>1.3213223078580338</v>
      </c>
      <c r="H6" s="192">
        <v>9.696027221258257</v>
      </c>
      <c r="I6" s="192">
        <v>14.762608469324242</v>
      </c>
      <c r="J6" s="192">
        <v>1.5356783393655868</v>
      </c>
      <c r="K6" s="192">
        <v>0.32146497601859886</v>
      </c>
      <c r="L6" s="192">
        <v>128177.71867014685</v>
      </c>
      <c r="M6" s="192">
        <v>33069.207376345366</v>
      </c>
      <c r="N6" s="192">
        <v>56169.407767395685</v>
      </c>
      <c r="O6" s="192">
        <v>6911.1165249423875</v>
      </c>
      <c r="P6" s="192">
        <v>19126.333308510424</v>
      </c>
      <c r="Q6" s="192">
        <v>1467.8287851768835</v>
      </c>
      <c r="R6" s="192">
        <v>218.43261380029105</v>
      </c>
      <c r="S6" s="192">
        <v>144.15006643223444</v>
      </c>
      <c r="T6" s="192">
        <v>0.69368379641711164</v>
      </c>
      <c r="U6" s="192">
        <v>17.434622600028373</v>
      </c>
      <c r="V6" s="193">
        <v>10.599025456092354</v>
      </c>
    </row>
    <row r="7" spans="1:22" x14ac:dyDescent="0.3">
      <c r="A7" s="218"/>
      <c r="B7" s="190" t="s">
        <v>93</v>
      </c>
      <c r="C7" s="191">
        <v>0.20198356759669092</v>
      </c>
      <c r="D7" s="192">
        <v>1083.3944698314751</v>
      </c>
      <c r="E7" s="192">
        <v>10076.963024612111</v>
      </c>
      <c r="F7" s="192">
        <v>9.1015735762656355E-2</v>
      </c>
      <c r="G7" s="192">
        <v>1.0286458925041804</v>
      </c>
      <c r="H7" s="192">
        <v>4.3664593135986633</v>
      </c>
      <c r="I7" s="192">
        <v>11.258894523844038</v>
      </c>
      <c r="J7" s="192">
        <v>1.4783785134278657</v>
      </c>
      <c r="K7" s="192">
        <v>0</v>
      </c>
      <c r="L7" s="192">
        <v>155263.31248319233</v>
      </c>
      <c r="M7" s="192">
        <v>37998.459430133713</v>
      </c>
      <c r="N7" s="192">
        <v>63476.053609370334</v>
      </c>
      <c r="O7" s="192">
        <v>3777.4223476481311</v>
      </c>
      <c r="P7" s="192">
        <v>22540.419761141427</v>
      </c>
      <c r="Q7" s="192">
        <v>1190.1978835399718</v>
      </c>
      <c r="R7" s="192">
        <v>721.5514280368111</v>
      </c>
      <c r="S7" s="192">
        <v>342.48010378739815</v>
      </c>
      <c r="T7" s="192">
        <v>0.73610178081109168</v>
      </c>
      <c r="U7" s="192">
        <v>116.76045835689946</v>
      </c>
      <c r="V7" s="193">
        <v>68.993852133285159</v>
      </c>
    </row>
    <row r="8" spans="1:22" ht="16.2" thickBot="1" x14ac:dyDescent="0.35">
      <c r="A8" s="219"/>
      <c r="B8" s="194" t="s">
        <v>95</v>
      </c>
      <c r="C8" s="195">
        <v>0.19560339953692105</v>
      </c>
      <c r="D8" s="196">
        <v>1046.6706992138597</v>
      </c>
      <c r="E8" s="196">
        <v>7018.6453746480965</v>
      </c>
      <c r="F8" s="196">
        <v>7.9938868393827051E-2</v>
      </c>
      <c r="G8" s="196">
        <v>2.3797686230161625</v>
      </c>
      <c r="H8" s="196">
        <v>12.087383505219531</v>
      </c>
      <c r="I8" s="196">
        <v>22.878779425237997</v>
      </c>
      <c r="J8" s="196">
        <v>1.4218245389926152</v>
      </c>
      <c r="K8" s="196">
        <v>0.25139369018234708</v>
      </c>
      <c r="L8" s="196">
        <v>98927.00681310278</v>
      </c>
      <c r="M8" s="196">
        <v>17267.567306363107</v>
      </c>
      <c r="N8" s="196">
        <v>49749.572214732187</v>
      </c>
      <c r="O8" s="196">
        <v>6327.4143874367473</v>
      </c>
      <c r="P8" s="196">
        <v>420.50940749900008</v>
      </c>
      <c r="Q8" s="196">
        <v>152.39958426723078</v>
      </c>
      <c r="R8" s="196">
        <v>247.65485566344645</v>
      </c>
      <c r="S8" s="196">
        <v>151.81266242618725</v>
      </c>
      <c r="T8" s="196">
        <v>2.2404192328862016</v>
      </c>
      <c r="U8" s="196">
        <v>264.23321705181621</v>
      </c>
      <c r="V8" s="197">
        <v>139.60618100760445</v>
      </c>
    </row>
    <row r="9" spans="1:22" ht="16.2" thickBot="1" x14ac:dyDescent="0.35"/>
    <row r="10" spans="1:22" ht="16.2" thickBot="1" x14ac:dyDescent="0.35">
      <c r="B10" s="183" t="s">
        <v>192</v>
      </c>
      <c r="C10" s="184">
        <f>STDEV(C2:C8)</f>
        <v>4.3720888316661809E-3</v>
      </c>
      <c r="D10" s="184">
        <f t="shared" ref="D10:V10" si="0">STDEV(D2:D8)</f>
        <v>32.940313116728511</v>
      </c>
      <c r="E10" s="184">
        <f t="shared" si="0"/>
        <v>1137.429351620779</v>
      </c>
      <c r="F10" s="184">
        <f t="shared" si="0"/>
        <v>9.0680320311826192E-3</v>
      </c>
      <c r="G10" s="184">
        <f t="shared" si="0"/>
        <v>0.6632075775795151</v>
      </c>
      <c r="H10" s="184">
        <f t="shared" si="0"/>
        <v>2.6615329666735517</v>
      </c>
      <c r="I10" s="184">
        <f t="shared" si="0"/>
        <v>4.7371905186751215</v>
      </c>
      <c r="J10" s="184">
        <f t="shared" si="0"/>
        <v>0.54709062363153849</v>
      </c>
      <c r="K10" s="184">
        <f t="shared" si="0"/>
        <v>0.11394106579757113</v>
      </c>
      <c r="L10" s="184">
        <f t="shared" si="0"/>
        <v>27380.197008552735</v>
      </c>
      <c r="M10" s="184">
        <f t="shared" si="0"/>
        <v>10165.275177679698</v>
      </c>
      <c r="N10" s="184">
        <f t="shared" si="0"/>
        <v>7565.781803473842</v>
      </c>
      <c r="O10" s="184">
        <f t="shared" si="0"/>
        <v>2162.1783789189899</v>
      </c>
      <c r="P10" s="184">
        <f t="shared" si="0"/>
        <v>9686.0400017711218</v>
      </c>
      <c r="Q10" s="184">
        <f t="shared" si="0"/>
        <v>567.54435841333441</v>
      </c>
      <c r="R10" s="184">
        <f t="shared" si="0"/>
        <v>192.94113418946674</v>
      </c>
      <c r="S10" s="184">
        <f t="shared" si="0"/>
        <v>96.442061016641674</v>
      </c>
      <c r="T10" s="184">
        <f t="shared" si="0"/>
        <v>1.2918077204775424</v>
      </c>
      <c r="U10" s="184">
        <f t="shared" si="0"/>
        <v>363.23876303674081</v>
      </c>
      <c r="V10" s="184">
        <f t="shared" si="0"/>
        <v>253.59123599257333</v>
      </c>
    </row>
    <row r="11" spans="1:22" ht="16.2" thickBot="1" x14ac:dyDescent="0.35">
      <c r="B11" s="183" t="s">
        <v>114</v>
      </c>
      <c r="C11" s="65">
        <f>SUM(C2:C8)/7</f>
        <v>0.19660026052912177</v>
      </c>
      <c r="D11" s="65">
        <f t="shared" ref="D11:V11" si="1">SUM(D2:D8)/7</f>
        <v>1078.4946765576324</v>
      </c>
      <c r="E11" s="65">
        <f t="shared" si="1"/>
        <v>8304.5027578650061</v>
      </c>
      <c r="F11" s="65">
        <f t="shared" si="1"/>
        <v>8.118028538432269E-2</v>
      </c>
      <c r="G11" s="65">
        <f t="shared" si="1"/>
        <v>1.7532731793048346</v>
      </c>
      <c r="H11" s="65">
        <f t="shared" si="1"/>
        <v>8.2329994619197429</v>
      </c>
      <c r="I11" s="65">
        <f t="shared" si="1"/>
        <v>16.05646064895182</v>
      </c>
      <c r="J11" s="65">
        <f t="shared" si="1"/>
        <v>1.8560960812243206</v>
      </c>
      <c r="K11" s="65">
        <f t="shared" si="1"/>
        <v>0.23336305342376526</v>
      </c>
      <c r="L11" s="65">
        <f t="shared" si="1"/>
        <v>109355.86873586473</v>
      </c>
      <c r="M11" s="65">
        <f t="shared" si="1"/>
        <v>21974.296065224415</v>
      </c>
      <c r="N11" s="65">
        <f t="shared" si="1"/>
        <v>53641.13353951076</v>
      </c>
      <c r="O11" s="65">
        <f t="shared" si="1"/>
        <v>5442.1494226526993</v>
      </c>
      <c r="P11" s="65">
        <f t="shared" si="1"/>
        <v>9443.8426162324467</v>
      </c>
      <c r="Q11" s="65">
        <f t="shared" si="1"/>
        <v>628.54419360822908</v>
      </c>
      <c r="R11" s="65">
        <f t="shared" si="1"/>
        <v>300.89940531405443</v>
      </c>
      <c r="S11" s="65">
        <f t="shared" si="1"/>
        <v>146.15019407296549</v>
      </c>
      <c r="T11" s="65">
        <f t="shared" si="1"/>
        <v>1.951677060518163</v>
      </c>
      <c r="U11" s="65">
        <f t="shared" si="1"/>
        <v>310.36038415908808</v>
      </c>
      <c r="V11" s="65">
        <f t="shared" si="1"/>
        <v>207.02960589190903</v>
      </c>
    </row>
    <row r="12" spans="1:22" ht="16.2" thickBot="1" x14ac:dyDescent="0.35"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</row>
    <row r="13" spans="1:22" ht="16.2" thickBot="1" x14ac:dyDescent="0.35">
      <c r="B13" s="183" t="s">
        <v>193</v>
      </c>
      <c r="C13" s="185">
        <f>C10/C11</f>
        <v>2.2238469165296742E-2</v>
      </c>
      <c r="D13" s="185">
        <f t="shared" ref="D13:V13" si="2">D10/D11</f>
        <v>3.0542861112553905E-2</v>
      </c>
      <c r="E13" s="185">
        <f t="shared" si="2"/>
        <v>0.13696537707131778</v>
      </c>
      <c r="F13" s="185">
        <f t="shared" si="2"/>
        <v>0.11170239163674844</v>
      </c>
      <c r="G13" s="185">
        <f t="shared" si="2"/>
        <v>0.37826825015510368</v>
      </c>
      <c r="H13" s="185">
        <f t="shared" si="2"/>
        <v>0.32327622259469263</v>
      </c>
      <c r="I13" s="185">
        <f t="shared" si="2"/>
        <v>0.29503329670504747</v>
      </c>
      <c r="J13" s="185">
        <f t="shared" si="2"/>
        <v>0.29475339620924462</v>
      </c>
      <c r="K13" s="185">
        <f t="shared" si="2"/>
        <v>0.48825666328021905</v>
      </c>
      <c r="L13" s="185">
        <f t="shared" si="2"/>
        <v>0.25037702434321235</v>
      </c>
      <c r="M13" s="185">
        <f t="shared" si="2"/>
        <v>0.46259844445105247</v>
      </c>
      <c r="N13" s="185">
        <f t="shared" si="2"/>
        <v>0.14104440574323565</v>
      </c>
      <c r="O13" s="185">
        <f t="shared" si="2"/>
        <v>0.39730228095520875</v>
      </c>
      <c r="P13" s="185">
        <f t="shared" si="2"/>
        <v>1.0256460633007984</v>
      </c>
      <c r="Q13" s="185">
        <f t="shared" si="2"/>
        <v>0.90295060265417737</v>
      </c>
      <c r="R13" s="185">
        <f t="shared" si="2"/>
        <v>0.64121474081376273</v>
      </c>
      <c r="S13" s="185">
        <f t="shared" si="2"/>
        <v>0.65988322238212682</v>
      </c>
      <c r="T13" s="185">
        <f t="shared" si="2"/>
        <v>0.66189624636699484</v>
      </c>
      <c r="U13" s="185">
        <f t="shared" si="2"/>
        <v>1.1703773470345613</v>
      </c>
      <c r="V13" s="185">
        <f t="shared" si="2"/>
        <v>1.2249032446353316</v>
      </c>
    </row>
    <row r="14" spans="1:22" ht="16.2" thickBot="1" x14ac:dyDescent="0.35"/>
    <row r="15" spans="1:22" x14ac:dyDescent="0.3">
      <c r="A15" s="217" t="s">
        <v>18</v>
      </c>
      <c r="B15" s="186" t="s">
        <v>67</v>
      </c>
      <c r="C15" s="187">
        <v>0.19784295602882956</v>
      </c>
      <c r="D15" s="188">
        <v>1070.974211155285</v>
      </c>
      <c r="E15" s="188">
        <v>4869.0738221310939</v>
      </c>
      <c r="F15" s="188">
        <v>7.1872277852404631E-2</v>
      </c>
      <c r="G15" s="188">
        <v>0.63585398738432908</v>
      </c>
      <c r="H15" s="188">
        <v>13.57356237964132</v>
      </c>
      <c r="I15" s="188">
        <v>17.251953251780723</v>
      </c>
      <c r="J15" s="188">
        <v>1.3245754797252767</v>
      </c>
      <c r="K15" s="188">
        <v>0.24812900266487894</v>
      </c>
      <c r="L15" s="188">
        <v>63430.508718716424</v>
      </c>
      <c r="M15" s="188">
        <v>4688.3004745979033</v>
      </c>
      <c r="N15" s="188">
        <v>26036.857492125939</v>
      </c>
      <c r="O15" s="188">
        <v>1094.638234240922</v>
      </c>
      <c r="P15" s="188">
        <v>509.19782848409022</v>
      </c>
      <c r="Q15" s="188">
        <v>18.769782980439999</v>
      </c>
      <c r="R15" s="188">
        <v>143.19871505164446</v>
      </c>
      <c r="S15" s="188">
        <v>88.168481737426958</v>
      </c>
      <c r="T15" s="188">
        <v>1.7401065136667968</v>
      </c>
      <c r="U15" s="188">
        <v>160.16354816664332</v>
      </c>
      <c r="V15" s="189">
        <v>93.249908001904032</v>
      </c>
    </row>
    <row r="16" spans="1:22" x14ac:dyDescent="0.3">
      <c r="A16" s="218"/>
      <c r="B16" s="190" t="s">
        <v>69</v>
      </c>
      <c r="C16" s="191">
        <v>0.19247303445275726</v>
      </c>
      <c r="D16" s="192">
        <v>1070.2434064107395</v>
      </c>
      <c r="E16" s="192">
        <v>6329.9304960188347</v>
      </c>
      <c r="F16" s="192">
        <v>7.100194796570182E-2</v>
      </c>
      <c r="G16" s="192">
        <v>2.5647932219682219</v>
      </c>
      <c r="H16" s="192">
        <v>5.7264483700479776</v>
      </c>
      <c r="I16" s="192">
        <v>13.133834281062573</v>
      </c>
      <c r="J16" s="192">
        <v>0.85711772825557797</v>
      </c>
      <c r="K16" s="192">
        <v>0.27877395529025112</v>
      </c>
      <c r="L16" s="192">
        <v>51487.582885021322</v>
      </c>
      <c r="M16" s="192">
        <v>6600.4778533860035</v>
      </c>
      <c r="N16" s="192">
        <v>41839.70154360195</v>
      </c>
      <c r="O16" s="192">
        <v>2486.0955642011809</v>
      </c>
      <c r="P16" s="192">
        <v>2480.7300054623797</v>
      </c>
      <c r="Q16" s="192">
        <v>62.300598866783105</v>
      </c>
      <c r="R16" s="192">
        <v>168.18949167573572</v>
      </c>
      <c r="S16" s="192">
        <v>107.57661804363188</v>
      </c>
      <c r="T16" s="192">
        <v>1.6278479218193536</v>
      </c>
      <c r="U16" s="192">
        <v>233.56775782261391</v>
      </c>
      <c r="V16" s="193">
        <v>144.44141718267522</v>
      </c>
    </row>
    <row r="17" spans="1:22" x14ac:dyDescent="0.3">
      <c r="A17" s="218"/>
      <c r="B17" s="190" t="s">
        <v>81</v>
      </c>
      <c r="C17" s="191">
        <v>0.19631914893962854</v>
      </c>
      <c r="D17" s="192">
        <v>1069.8077907245233</v>
      </c>
      <c r="E17" s="192">
        <v>4506.8536689404064</v>
      </c>
      <c r="F17" s="192">
        <v>9.3915540529134214E-2</v>
      </c>
      <c r="G17" s="192">
        <v>0.8153944613547035</v>
      </c>
      <c r="H17" s="192">
        <v>12.19094641527502</v>
      </c>
      <c r="I17" s="192">
        <v>18.795252404147913</v>
      </c>
      <c r="J17" s="192">
        <v>4.8288112105472765</v>
      </c>
      <c r="K17" s="192" t="s">
        <v>65</v>
      </c>
      <c r="L17" s="192">
        <v>39933.970829996957</v>
      </c>
      <c r="M17" s="192">
        <v>5081.2595952273696</v>
      </c>
      <c r="N17" s="192">
        <v>33777.15191985984</v>
      </c>
      <c r="O17" s="192">
        <v>2574.0511349388989</v>
      </c>
      <c r="P17" s="192">
        <v>246.26144907502845</v>
      </c>
      <c r="Q17" s="192">
        <v>15.224003632288966</v>
      </c>
      <c r="R17" s="192">
        <v>134.72902421238186</v>
      </c>
      <c r="S17" s="192">
        <v>39.060448979217981</v>
      </c>
      <c r="T17" s="192">
        <v>2.1497332932699442</v>
      </c>
      <c r="U17" s="192">
        <v>369.85114860983532</v>
      </c>
      <c r="V17" s="193">
        <v>174.98526397439363</v>
      </c>
    </row>
    <row r="18" spans="1:22" ht="16.2" thickBot="1" x14ac:dyDescent="0.35">
      <c r="A18" s="219"/>
      <c r="B18" s="194" t="s">
        <v>82</v>
      </c>
      <c r="C18" s="195">
        <v>0.20512920380461938</v>
      </c>
      <c r="D18" s="196">
        <v>1089.5915997084317</v>
      </c>
      <c r="E18" s="196">
        <v>4818.8839265238094</v>
      </c>
      <c r="F18" s="196">
        <v>0.10108585737845205</v>
      </c>
      <c r="G18" s="196">
        <v>1.3308021361682025</v>
      </c>
      <c r="H18" s="196">
        <v>12.701433124158616</v>
      </c>
      <c r="I18" s="196">
        <v>25.914516023883216</v>
      </c>
      <c r="J18" s="196">
        <v>3.0203094982764997</v>
      </c>
      <c r="K18" s="196">
        <v>0.3119627825386645</v>
      </c>
      <c r="L18" s="196">
        <v>55043.264423115616</v>
      </c>
      <c r="M18" s="196">
        <v>16796.516835614337</v>
      </c>
      <c r="N18" s="196">
        <v>31656.438416286648</v>
      </c>
      <c r="O18" s="196">
        <v>4761.782885761324</v>
      </c>
      <c r="P18" s="196">
        <v>2339.1480735981277</v>
      </c>
      <c r="Q18" s="196">
        <v>447.2253496591253</v>
      </c>
      <c r="R18" s="196">
        <v>154.6879939470443</v>
      </c>
      <c r="S18" s="196">
        <v>86.729239581206869</v>
      </c>
      <c r="T18" s="196">
        <v>1.8300205798931941</v>
      </c>
      <c r="U18" s="196">
        <v>142.27253239620839</v>
      </c>
      <c r="V18" s="197">
        <v>91.508938314474179</v>
      </c>
    </row>
    <row r="19" spans="1:22" ht="16.2" thickBot="1" x14ac:dyDescent="0.35"/>
    <row r="20" spans="1:22" ht="16.2" thickBot="1" x14ac:dyDescent="0.35">
      <c r="B20" s="183" t="s">
        <v>192</v>
      </c>
      <c r="C20" s="184">
        <f>STDEV(C15:C18)</f>
        <v>5.2980793568813845E-3</v>
      </c>
      <c r="D20" s="184">
        <f t="shared" ref="D20:V20" si="3">STDEV(D15:D18)</f>
        <v>9.636922103544844</v>
      </c>
      <c r="E20" s="184">
        <f t="shared" si="3"/>
        <v>815.06944596260621</v>
      </c>
      <c r="F20" s="184">
        <f t="shared" si="3"/>
        <v>1.5334014221410022E-2</v>
      </c>
      <c r="G20" s="184">
        <f t="shared" si="3"/>
        <v>0.87009431369705625</v>
      </c>
      <c r="H20" s="184">
        <f t="shared" si="3"/>
        <v>3.5933987926881481</v>
      </c>
      <c r="I20" s="184">
        <f t="shared" si="3"/>
        <v>5.3265222032004935</v>
      </c>
      <c r="J20" s="184">
        <f t="shared" si="3"/>
        <v>1.805042124686234</v>
      </c>
      <c r="K20" s="184">
        <f t="shared" si="3"/>
        <v>3.1925336929861943E-2</v>
      </c>
      <c r="L20" s="184">
        <f t="shared" si="3"/>
        <v>9744.5977029183578</v>
      </c>
      <c r="M20" s="184">
        <f t="shared" si="3"/>
        <v>5729.5595372819471</v>
      </c>
      <c r="N20" s="184">
        <f t="shared" si="3"/>
        <v>6547.4085702293496</v>
      </c>
      <c r="O20" s="184">
        <f t="shared" si="3"/>
        <v>1515.0749461252287</v>
      </c>
      <c r="P20" s="184">
        <f t="shared" si="3"/>
        <v>1179.6137136118016</v>
      </c>
      <c r="Q20" s="184">
        <f t="shared" si="3"/>
        <v>208.66442550605973</v>
      </c>
      <c r="R20" s="184">
        <f t="shared" si="3"/>
        <v>14.515887575852275</v>
      </c>
      <c r="S20" s="184">
        <f t="shared" si="3"/>
        <v>29.142949781666722</v>
      </c>
      <c r="T20" s="184">
        <f t="shared" si="3"/>
        <v>0.22433883840789959</v>
      </c>
      <c r="U20" s="184">
        <f t="shared" si="3"/>
        <v>103.43160524712668</v>
      </c>
      <c r="V20" s="184">
        <f t="shared" si="3"/>
        <v>40.832320577838601</v>
      </c>
    </row>
    <row r="21" spans="1:22" ht="16.2" thickBot="1" x14ac:dyDescent="0.35">
      <c r="B21" s="183" t="s">
        <v>114</v>
      </c>
      <c r="C21" s="65">
        <f>SUM(C15:C18)/4</f>
        <v>0.19794108580645869</v>
      </c>
      <c r="D21" s="65">
        <f t="shared" ref="D21:V21" si="4">SUM(D15:D18)/4</f>
        <v>1075.1542519997447</v>
      </c>
      <c r="E21" s="65">
        <f t="shared" si="4"/>
        <v>5131.1854784035359</v>
      </c>
      <c r="F21" s="65">
        <f t="shared" si="4"/>
        <v>8.4468905931423172E-2</v>
      </c>
      <c r="G21" s="65">
        <f t="shared" si="4"/>
        <v>1.3367109517188642</v>
      </c>
      <c r="H21" s="65">
        <f t="shared" si="4"/>
        <v>11.048097572280735</v>
      </c>
      <c r="I21" s="65">
        <f t="shared" si="4"/>
        <v>18.773888990218609</v>
      </c>
      <c r="J21" s="65">
        <f t="shared" si="4"/>
        <v>2.5077034792011577</v>
      </c>
      <c r="K21" s="65">
        <f t="shared" si="4"/>
        <v>0.20971643512344865</v>
      </c>
      <c r="L21" s="65">
        <f t="shared" si="4"/>
        <v>52473.831714212582</v>
      </c>
      <c r="M21" s="65">
        <f t="shared" si="4"/>
        <v>8291.638689706404</v>
      </c>
      <c r="N21" s="65">
        <f t="shared" si="4"/>
        <v>33327.537342968593</v>
      </c>
      <c r="O21" s="65">
        <f t="shared" si="4"/>
        <v>2729.1419547855812</v>
      </c>
      <c r="P21" s="65">
        <f t="shared" si="4"/>
        <v>1393.8343391549065</v>
      </c>
      <c r="Q21" s="65">
        <f t="shared" si="4"/>
        <v>135.87993378465933</v>
      </c>
      <c r="R21" s="65">
        <f t="shared" si="4"/>
        <v>150.2013062217016</v>
      </c>
      <c r="S21" s="65">
        <f t="shared" si="4"/>
        <v>80.383697085370926</v>
      </c>
      <c r="T21" s="65">
        <f t="shared" si="4"/>
        <v>1.8369270771623221</v>
      </c>
      <c r="U21" s="65">
        <f t="shared" si="4"/>
        <v>226.46374674882523</v>
      </c>
      <c r="V21" s="65">
        <f t="shared" si="4"/>
        <v>126.04638186836176</v>
      </c>
    </row>
    <row r="22" spans="1:22" ht="16.2" thickBot="1" x14ac:dyDescent="0.35"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</row>
    <row r="23" spans="1:22" ht="16.2" thickBot="1" x14ac:dyDescent="0.35">
      <c r="B23" s="183" t="s">
        <v>193</v>
      </c>
      <c r="C23" s="185">
        <f>C20/C21</f>
        <v>2.6765940660049222E-2</v>
      </c>
      <c r="D23" s="185">
        <f t="shared" ref="D23:V23" si="5">D20/D21</f>
        <v>8.9632925560407233E-3</v>
      </c>
      <c r="E23" s="185">
        <f t="shared" si="5"/>
        <v>0.15884622557362679</v>
      </c>
      <c r="F23" s="185">
        <f t="shared" si="5"/>
        <v>0.18153442444085965</v>
      </c>
      <c r="G23" s="185">
        <f t="shared" si="5"/>
        <v>0.65092181116509151</v>
      </c>
      <c r="H23" s="185">
        <f t="shared" si="5"/>
        <v>0.32525045775336486</v>
      </c>
      <c r="I23" s="185">
        <f t="shared" si="5"/>
        <v>0.28371970271986091</v>
      </c>
      <c r="J23" s="185">
        <f t="shared" si="5"/>
        <v>0.71979886763216516</v>
      </c>
      <c r="K23" s="185">
        <f t="shared" si="5"/>
        <v>0.15223097279461781</v>
      </c>
      <c r="L23" s="185">
        <f t="shared" si="5"/>
        <v>0.18570394775037985</v>
      </c>
      <c r="M23" s="185">
        <f t="shared" si="5"/>
        <v>0.69100448677230331</v>
      </c>
      <c r="N23" s="185">
        <f t="shared" si="5"/>
        <v>0.19645641689186238</v>
      </c>
      <c r="O23" s="185">
        <f t="shared" si="5"/>
        <v>0.55514699170137627</v>
      </c>
      <c r="P23" s="185">
        <f t="shared" si="5"/>
        <v>0.84630840299645027</v>
      </c>
      <c r="Q23" s="185">
        <f t="shared" si="5"/>
        <v>1.5356529819682447</v>
      </c>
      <c r="R23" s="185">
        <f t="shared" si="5"/>
        <v>9.6642885078684959E-2</v>
      </c>
      <c r="S23" s="185">
        <f t="shared" si="5"/>
        <v>0.3625480145646407</v>
      </c>
      <c r="T23" s="185">
        <f t="shared" si="5"/>
        <v>0.12212724239138407</v>
      </c>
      <c r="U23" s="185">
        <f t="shared" si="5"/>
        <v>0.45672478148056267</v>
      </c>
      <c r="V23" s="185">
        <f t="shared" si="5"/>
        <v>0.32394678825832846</v>
      </c>
    </row>
    <row r="24" spans="1:22" ht="16.2" thickBot="1" x14ac:dyDescent="0.35"/>
    <row r="25" spans="1:22" x14ac:dyDescent="0.3">
      <c r="A25" s="217" t="s">
        <v>16</v>
      </c>
      <c r="B25" s="186" t="s">
        <v>64</v>
      </c>
      <c r="C25" s="187">
        <v>0.1471962655367377</v>
      </c>
      <c r="D25" s="188">
        <v>777.30308467806265</v>
      </c>
      <c r="E25" s="188">
        <v>1614.6445466288892</v>
      </c>
      <c r="F25" s="188">
        <v>9.5288266383684428E-2</v>
      </c>
      <c r="G25" s="188">
        <v>0</v>
      </c>
      <c r="H25" s="188">
        <v>0</v>
      </c>
      <c r="I25" s="188">
        <v>31.014055361161574</v>
      </c>
      <c r="J25" s="188">
        <v>2.6697187567682752</v>
      </c>
      <c r="K25" s="188" t="s">
        <v>65</v>
      </c>
      <c r="L25" s="188">
        <v>43518.355390691198</v>
      </c>
      <c r="M25" s="188">
        <v>14421.238903679263</v>
      </c>
      <c r="N25" s="188">
        <v>12697.540259894553</v>
      </c>
      <c r="O25" s="188">
        <v>1572.9801365668882</v>
      </c>
      <c r="P25" s="188">
        <v>641.15955466580021</v>
      </c>
      <c r="Q25" s="188">
        <v>131.18735452644691</v>
      </c>
      <c r="R25" s="188">
        <v>50.359753759161492</v>
      </c>
      <c r="S25" s="188">
        <v>32.164609824806007</v>
      </c>
      <c r="T25" s="188">
        <v>0.90141533792534023</v>
      </c>
      <c r="U25" s="188">
        <v>90.414117981488232</v>
      </c>
      <c r="V25" s="189">
        <v>59.865420741985439</v>
      </c>
    </row>
    <row r="26" spans="1:22" x14ac:dyDescent="0.3">
      <c r="A26" s="218"/>
      <c r="B26" s="190" t="s">
        <v>74</v>
      </c>
      <c r="C26" s="191">
        <v>0.14599035394695389</v>
      </c>
      <c r="D26" s="192">
        <v>762.32681594137625</v>
      </c>
      <c r="E26" s="192">
        <v>589.6240991823754</v>
      </c>
      <c r="F26" s="192">
        <v>0.10070042948781605</v>
      </c>
      <c r="G26" s="192">
        <v>0</v>
      </c>
      <c r="H26" s="192">
        <v>0</v>
      </c>
      <c r="I26" s="192">
        <v>1.6065840807312453</v>
      </c>
      <c r="J26" s="192">
        <v>0.76255446498989576</v>
      </c>
      <c r="K26" s="192">
        <v>0</v>
      </c>
      <c r="L26" s="192">
        <v>10461.942483550703</v>
      </c>
      <c r="M26" s="192">
        <v>789.07928419433733</v>
      </c>
      <c r="N26" s="192">
        <v>940.0644574492336</v>
      </c>
      <c r="O26" s="192">
        <v>0</v>
      </c>
      <c r="P26" s="192">
        <v>13.857607188652198</v>
      </c>
      <c r="Q26" s="192">
        <v>0</v>
      </c>
      <c r="R26" s="192">
        <v>0</v>
      </c>
      <c r="S26" s="192">
        <v>0</v>
      </c>
      <c r="T26" s="192" t="s">
        <v>65</v>
      </c>
      <c r="U26" s="192" t="s">
        <v>65</v>
      </c>
      <c r="V26" s="193" t="s">
        <v>65</v>
      </c>
    </row>
    <row r="27" spans="1:22" x14ac:dyDescent="0.3">
      <c r="A27" s="218"/>
      <c r="B27" s="190" t="s">
        <v>75</v>
      </c>
      <c r="C27" s="191">
        <v>0.1511029964084121</v>
      </c>
      <c r="D27" s="192">
        <v>761.97069736110859</v>
      </c>
      <c r="E27" s="192">
        <v>555.46833051517433</v>
      </c>
      <c r="F27" s="192">
        <v>6.1059868538786435E-2</v>
      </c>
      <c r="G27" s="192">
        <v>3.9853785777738753</v>
      </c>
      <c r="H27" s="192">
        <v>9.873624988732054</v>
      </c>
      <c r="I27" s="192">
        <v>18.647968918693994</v>
      </c>
      <c r="J27" s="192">
        <v>0.82174355847106073</v>
      </c>
      <c r="K27" s="192">
        <v>0.31075384387650778</v>
      </c>
      <c r="L27" s="192">
        <v>24313.550727824619</v>
      </c>
      <c r="M27" s="192">
        <v>6930.0362808416012</v>
      </c>
      <c r="N27" s="192">
        <v>3165.0747162117996</v>
      </c>
      <c r="O27" s="192">
        <v>584.00463642470504</v>
      </c>
      <c r="P27" s="192">
        <v>4864.768719872598</v>
      </c>
      <c r="Q27" s="192">
        <v>357.44623731867244</v>
      </c>
      <c r="R27" s="192">
        <v>0</v>
      </c>
      <c r="S27" s="192">
        <v>0</v>
      </c>
      <c r="T27" s="192">
        <v>2.4411062480774111</v>
      </c>
      <c r="U27" s="192">
        <v>340.82971727026228</v>
      </c>
      <c r="V27" s="193">
        <v>159.07221685826624</v>
      </c>
    </row>
    <row r="28" spans="1:22" x14ac:dyDescent="0.3">
      <c r="A28" s="218"/>
      <c r="B28" s="190" t="s">
        <v>77</v>
      </c>
      <c r="C28" s="191">
        <v>0.19097853388589306</v>
      </c>
      <c r="D28" s="192">
        <v>1035.4424292843739</v>
      </c>
      <c r="E28" s="192">
        <v>2706.6785656884049</v>
      </c>
      <c r="F28" s="192">
        <v>7.4748842717268907E-2</v>
      </c>
      <c r="G28" s="192">
        <v>0.84520736925092044</v>
      </c>
      <c r="H28" s="192">
        <v>1.5993950280816895</v>
      </c>
      <c r="I28" s="192">
        <v>18.525804328284867</v>
      </c>
      <c r="J28" s="192">
        <v>1.0272475998373276</v>
      </c>
      <c r="K28" s="192">
        <v>0.28805037373882736</v>
      </c>
      <c r="L28" s="192">
        <v>22340.849964012003</v>
      </c>
      <c r="M28" s="192">
        <v>4226.8350257935599</v>
      </c>
      <c r="N28" s="192">
        <v>10842.262427467289</v>
      </c>
      <c r="O28" s="192">
        <v>1439.1201408661082</v>
      </c>
      <c r="P28" s="192">
        <v>100.42512595675093</v>
      </c>
      <c r="Q28" s="192">
        <v>12.662985956147461</v>
      </c>
      <c r="R28" s="192">
        <v>160.76708693811415</v>
      </c>
      <c r="S28" s="192">
        <v>121.77538848815317</v>
      </c>
      <c r="T28" s="192">
        <v>1.6277590337710757</v>
      </c>
      <c r="U28" s="192">
        <v>220.58795236315802</v>
      </c>
      <c r="V28" s="193">
        <v>104.7459108281267</v>
      </c>
    </row>
    <row r="29" spans="1:22" x14ac:dyDescent="0.3">
      <c r="A29" s="218"/>
      <c r="B29" s="190" t="s">
        <v>79</v>
      </c>
      <c r="C29" s="191">
        <v>0.14321894308448696</v>
      </c>
      <c r="D29" s="192">
        <v>754.65669392675534</v>
      </c>
      <c r="E29" s="192">
        <v>46.714592059130531</v>
      </c>
      <c r="F29" s="192">
        <v>9.500595155474191E-2</v>
      </c>
      <c r="G29" s="192">
        <v>1.8394351986203286</v>
      </c>
      <c r="H29" s="192">
        <v>9.0559966061956914</v>
      </c>
      <c r="I29" s="192">
        <v>20.671013247090862</v>
      </c>
      <c r="J29" s="192">
        <v>0.41172941294892412</v>
      </c>
      <c r="K29" s="192">
        <v>0</v>
      </c>
      <c r="L29" s="192">
        <v>17743.649727076157</v>
      </c>
      <c r="M29" s="192">
        <v>5241.1352580703106</v>
      </c>
      <c r="N29" s="192">
        <v>769.24966752148782</v>
      </c>
      <c r="O29" s="192">
        <v>333.70891511126064</v>
      </c>
      <c r="P29" s="192">
        <v>187.21405200676759</v>
      </c>
      <c r="Q29" s="192">
        <v>4.7608960738435862</v>
      </c>
      <c r="R29" s="192">
        <v>0</v>
      </c>
      <c r="S29" s="192">
        <v>0</v>
      </c>
      <c r="T29" s="192">
        <v>0.30125194370236108</v>
      </c>
      <c r="U29" s="192">
        <v>8.3803836744167075</v>
      </c>
      <c r="V29" s="193">
        <v>2.165655068213006</v>
      </c>
    </row>
    <row r="30" spans="1:22" x14ac:dyDescent="0.3">
      <c r="A30" s="218"/>
      <c r="B30" s="190" t="s">
        <v>89</v>
      </c>
      <c r="C30" s="191">
        <v>0.20793645646766667</v>
      </c>
      <c r="D30" s="192">
        <v>1120.9667646993428</v>
      </c>
      <c r="E30" s="192">
        <v>2985.2112994259737</v>
      </c>
      <c r="F30" s="192">
        <v>0.11424240077061186</v>
      </c>
      <c r="G30" s="192">
        <v>0.91902973812578981</v>
      </c>
      <c r="H30" s="192">
        <v>6.1635013140109063</v>
      </c>
      <c r="I30" s="192">
        <v>14.820100249622161</v>
      </c>
      <c r="J30" s="192">
        <v>0.7040260464418876</v>
      </c>
      <c r="K30" s="192">
        <v>0.20738145197561689</v>
      </c>
      <c r="L30" s="192">
        <v>31075.483352759838</v>
      </c>
      <c r="M30" s="192">
        <v>7387.3941575120043</v>
      </c>
      <c r="N30" s="192">
        <v>14130.054437352117</v>
      </c>
      <c r="O30" s="192">
        <v>1311.1761920249344</v>
      </c>
      <c r="P30" s="192">
        <v>531.43307352457714</v>
      </c>
      <c r="Q30" s="192">
        <v>252.75329085726003</v>
      </c>
      <c r="R30" s="192">
        <v>128.55499001036881</v>
      </c>
      <c r="S30" s="192">
        <v>47.726907726219189</v>
      </c>
      <c r="T30" s="192">
        <v>2.1223774970415921</v>
      </c>
      <c r="U30" s="192">
        <v>147.31789445183233</v>
      </c>
      <c r="V30" s="193">
        <v>101.99480139117811</v>
      </c>
    </row>
    <row r="31" spans="1:22" x14ac:dyDescent="0.3">
      <c r="A31" s="218"/>
      <c r="B31" s="190" t="s">
        <v>94</v>
      </c>
      <c r="C31" s="191">
        <v>0.14930081215524948</v>
      </c>
      <c r="D31" s="192">
        <v>767.14322992580833</v>
      </c>
      <c r="E31" s="192">
        <v>937.57932975501853</v>
      </c>
      <c r="F31" s="192">
        <v>8.9105128507279613E-2</v>
      </c>
      <c r="G31" s="192">
        <v>2.8915046189429652</v>
      </c>
      <c r="H31" s="192">
        <v>5.6893766599115665</v>
      </c>
      <c r="I31" s="192">
        <v>18.031801170622067</v>
      </c>
      <c r="J31" s="192">
        <v>0.34004021357759584</v>
      </c>
      <c r="K31" s="192">
        <v>0.32699121416354004</v>
      </c>
      <c r="L31" s="192">
        <v>32823.257289187168</v>
      </c>
      <c r="M31" s="192">
        <v>5403.7532034488622</v>
      </c>
      <c r="N31" s="192">
        <v>5756.3499334227363</v>
      </c>
      <c r="O31" s="192">
        <v>171.93413402521489</v>
      </c>
      <c r="P31" s="192">
        <v>713.97137970710355</v>
      </c>
      <c r="Q31" s="192">
        <v>2.1176931750465275</v>
      </c>
      <c r="R31" s="192">
        <v>0</v>
      </c>
      <c r="S31" s="192">
        <v>0</v>
      </c>
      <c r="T31" s="192">
        <v>0.43266788646343857</v>
      </c>
      <c r="U31" s="192">
        <v>38.561659687605299</v>
      </c>
      <c r="V31" s="193">
        <v>31.361788576254057</v>
      </c>
    </row>
    <row r="32" spans="1:22" ht="16.2" thickBot="1" x14ac:dyDescent="0.35">
      <c r="A32" s="219"/>
      <c r="B32" s="194" t="s">
        <v>96</v>
      </c>
      <c r="C32" s="195">
        <v>0.1494722015820468</v>
      </c>
      <c r="D32" s="196">
        <v>744.21991299828346</v>
      </c>
      <c r="E32" s="196">
        <v>1443.7562645391799</v>
      </c>
      <c r="F32" s="196">
        <v>6.024058438806635E-2</v>
      </c>
      <c r="G32" s="196">
        <v>3.8590999371214347</v>
      </c>
      <c r="H32" s="196">
        <v>5.1086202308241062E-2</v>
      </c>
      <c r="I32" s="196">
        <v>15.9874063129721</v>
      </c>
      <c r="J32" s="196">
        <v>1.3100158267555424</v>
      </c>
      <c r="K32" s="196">
        <v>0.36050063986723524</v>
      </c>
      <c r="L32" s="196">
        <v>45299.841772986423</v>
      </c>
      <c r="M32" s="196">
        <v>15135.548239733649</v>
      </c>
      <c r="N32" s="196">
        <v>7437.0521511753595</v>
      </c>
      <c r="O32" s="196">
        <v>1503.0352447086987</v>
      </c>
      <c r="P32" s="196">
        <v>3694.1880619760591</v>
      </c>
      <c r="Q32" s="196">
        <v>397.40253176537368</v>
      </c>
      <c r="R32" s="196">
        <v>34.36616511003281</v>
      </c>
      <c r="S32" s="196">
        <v>23.066247454078262</v>
      </c>
      <c r="T32" s="196" t="s">
        <v>65</v>
      </c>
      <c r="U32" s="196" t="s">
        <v>65</v>
      </c>
      <c r="V32" s="197" t="s">
        <v>65</v>
      </c>
    </row>
    <row r="33" spans="2:22" ht="16.2" thickBot="1" x14ac:dyDescent="0.35"/>
    <row r="34" spans="2:22" ht="16.2" thickBot="1" x14ac:dyDescent="0.35">
      <c r="B34" s="183" t="s">
        <v>192</v>
      </c>
      <c r="C34" s="184">
        <f>STDEV(C25:C32)</f>
        <v>2.4496271989968999E-2</v>
      </c>
      <c r="D34" s="184">
        <f t="shared" ref="D34:V34" si="6">STDEV(D25:D32)</f>
        <v>148.78366316705677</v>
      </c>
      <c r="E34" s="184">
        <f t="shared" si="6"/>
        <v>1046.8061556215505</v>
      </c>
      <c r="F34" s="184">
        <f t="shared" si="6"/>
        <v>1.9280589813718774E-2</v>
      </c>
      <c r="G34" s="184">
        <f t="shared" si="6"/>
        <v>1.6202289050848557</v>
      </c>
      <c r="H34" s="184">
        <f t="shared" si="6"/>
        <v>4.1564183412290427</v>
      </c>
      <c r="I34" s="184">
        <f t="shared" si="6"/>
        <v>8.0830332396162401</v>
      </c>
      <c r="J34" s="184">
        <f t="shared" si="6"/>
        <v>0.74083943502759986</v>
      </c>
      <c r="K34" s="184">
        <f t="shared" si="6"/>
        <v>0.15313792921131253</v>
      </c>
      <c r="L34" s="184">
        <f t="shared" si="6"/>
        <v>12128.002153864456</v>
      </c>
      <c r="M34" s="184">
        <f t="shared" si="6"/>
        <v>4953.5332872841363</v>
      </c>
      <c r="N34" s="184">
        <f t="shared" si="6"/>
        <v>5210.4759691387717</v>
      </c>
      <c r="O34" s="184">
        <f t="shared" si="6"/>
        <v>657.57170632865757</v>
      </c>
      <c r="P34" s="184">
        <f t="shared" si="6"/>
        <v>1856.4285969257426</v>
      </c>
      <c r="Q34" s="184">
        <f t="shared" si="6"/>
        <v>168.71874297532639</v>
      </c>
      <c r="R34" s="184">
        <f t="shared" si="6"/>
        <v>63.920253782443588</v>
      </c>
      <c r="S34" s="184">
        <f t="shared" si="6"/>
        <v>42.02141133562489</v>
      </c>
      <c r="T34" s="184">
        <f t="shared" si="6"/>
        <v>0.89379739068992292</v>
      </c>
      <c r="U34" s="184">
        <f t="shared" si="6"/>
        <v>124.05368202001294</v>
      </c>
      <c r="V34" s="184">
        <f t="shared" si="6"/>
        <v>56.755162776520784</v>
      </c>
    </row>
    <row r="35" spans="2:22" ht="16.2" thickBot="1" x14ac:dyDescent="0.35">
      <c r="B35" s="183" t="s">
        <v>114</v>
      </c>
      <c r="C35" s="65">
        <f>SUM(C25:C32)/8</f>
        <v>0.16064957038343083</v>
      </c>
      <c r="D35" s="65">
        <f t="shared" ref="D35:V35" si="7">SUM(D25:D32)/8</f>
        <v>840.50370360188901</v>
      </c>
      <c r="E35" s="65">
        <f t="shared" si="7"/>
        <v>1359.9596284742684</v>
      </c>
      <c r="F35" s="65">
        <f t="shared" si="7"/>
        <v>8.6298934043531936E-2</v>
      </c>
      <c r="G35" s="65">
        <f t="shared" si="7"/>
        <v>1.7924569299794144</v>
      </c>
      <c r="H35" s="65">
        <f t="shared" si="7"/>
        <v>4.0541225999050186</v>
      </c>
      <c r="I35" s="65">
        <f t="shared" si="7"/>
        <v>17.413091708647357</v>
      </c>
      <c r="J35" s="65">
        <f t="shared" si="7"/>
        <v>1.0058844849738136</v>
      </c>
      <c r="K35" s="65">
        <f t="shared" si="7"/>
        <v>0.1867096904527159</v>
      </c>
      <c r="L35" s="65">
        <f t="shared" si="7"/>
        <v>28447.116338511016</v>
      </c>
      <c r="M35" s="65">
        <f t="shared" si="7"/>
        <v>7441.8775441591988</v>
      </c>
      <c r="N35" s="65">
        <f t="shared" si="7"/>
        <v>6967.2060063118224</v>
      </c>
      <c r="O35" s="65">
        <f t="shared" si="7"/>
        <v>864.49492496597622</v>
      </c>
      <c r="P35" s="65">
        <f t="shared" si="7"/>
        <v>1343.3771968622887</v>
      </c>
      <c r="Q35" s="65">
        <f t="shared" si="7"/>
        <v>144.79137370909882</v>
      </c>
      <c r="R35" s="65">
        <f t="shared" si="7"/>
        <v>46.755999477209656</v>
      </c>
      <c r="S35" s="65">
        <f t="shared" si="7"/>
        <v>28.091644186657078</v>
      </c>
      <c r="T35" s="65">
        <f t="shared" si="7"/>
        <v>0.97832224337265239</v>
      </c>
      <c r="U35" s="65">
        <f t="shared" si="7"/>
        <v>105.76146567859536</v>
      </c>
      <c r="V35" s="65">
        <f t="shared" si="7"/>
        <v>57.40072418300295</v>
      </c>
    </row>
    <row r="36" spans="2:22" ht="16.2" thickBot="1" x14ac:dyDescent="0.35"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</row>
    <row r="37" spans="2:22" ht="16.2" thickBot="1" x14ac:dyDescent="0.35">
      <c r="B37" s="183" t="s">
        <v>193</v>
      </c>
      <c r="C37" s="185">
        <f>C34/C35</f>
        <v>0.15248264860903424</v>
      </c>
      <c r="D37" s="185">
        <f t="shared" ref="D37:V37" si="8">D34/D35</f>
        <v>0.17701726063723486</v>
      </c>
      <c r="E37" s="185">
        <f t="shared" si="8"/>
        <v>0.76973325803498804</v>
      </c>
      <c r="F37" s="185">
        <f t="shared" si="8"/>
        <v>0.22341631478313542</v>
      </c>
      <c r="G37" s="185">
        <f t="shared" si="8"/>
        <v>0.90391511114493739</v>
      </c>
      <c r="H37" s="185">
        <f t="shared" si="8"/>
        <v>1.0252325228956867</v>
      </c>
      <c r="I37" s="185">
        <f t="shared" si="8"/>
        <v>0.46419288285274457</v>
      </c>
      <c r="J37" s="185">
        <f t="shared" si="8"/>
        <v>0.73650547959976376</v>
      </c>
      <c r="K37" s="185">
        <f t="shared" si="8"/>
        <v>0.82019272186675607</v>
      </c>
      <c r="L37" s="185">
        <f t="shared" si="8"/>
        <v>0.42633502846282739</v>
      </c>
      <c r="M37" s="185">
        <f t="shared" si="8"/>
        <v>0.66562950786148667</v>
      </c>
      <c r="N37" s="185">
        <f t="shared" si="8"/>
        <v>0.74785731388140797</v>
      </c>
      <c r="O37" s="185">
        <f t="shared" si="8"/>
        <v>0.76064264501557077</v>
      </c>
      <c r="P37" s="185">
        <f t="shared" si="8"/>
        <v>1.3819116486879355</v>
      </c>
      <c r="Q37" s="185">
        <f t="shared" si="8"/>
        <v>1.1652541077087935</v>
      </c>
      <c r="R37" s="185">
        <f t="shared" si="8"/>
        <v>1.3671027140292515</v>
      </c>
      <c r="S37" s="185">
        <f t="shared" si="8"/>
        <v>1.4958687023233816</v>
      </c>
      <c r="T37" s="185">
        <f t="shared" si="8"/>
        <v>0.91360223765194193</v>
      </c>
      <c r="U37" s="185">
        <f t="shared" si="8"/>
        <v>1.1729572885932469</v>
      </c>
      <c r="V37" s="185">
        <f t="shared" si="8"/>
        <v>0.98875342749293527</v>
      </c>
    </row>
  </sheetData>
  <mergeCells count="3">
    <mergeCell ref="A2:A8"/>
    <mergeCell ref="A15:A18"/>
    <mergeCell ref="A25:A3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96C6C-0926-433C-9F4D-EF6E520EBC12}">
  <sheetPr codeName="Sheet19"/>
  <dimension ref="A1:AA51"/>
  <sheetViews>
    <sheetView topLeftCell="A10" zoomScaleNormal="100" workbookViewId="0">
      <selection activeCell="M19" sqref="M19"/>
    </sheetView>
  </sheetViews>
  <sheetFormatPr defaultRowHeight="15.6" x14ac:dyDescent="0.3"/>
  <cols>
    <col min="2" max="2" width="22.69921875" customWidth="1"/>
  </cols>
  <sheetData>
    <row r="1" spans="1:27" ht="60" customHeight="1" thickBot="1" x14ac:dyDescent="0.35">
      <c r="A1" s="180" t="s">
        <v>194</v>
      </c>
      <c r="B1" s="44" t="s">
        <v>5</v>
      </c>
      <c r="C1" s="45" t="s">
        <v>47</v>
      </c>
      <c r="D1" s="46" t="s">
        <v>44</v>
      </c>
      <c r="E1" s="46" t="s">
        <v>42</v>
      </c>
      <c r="F1" s="46" t="s">
        <v>48</v>
      </c>
      <c r="G1" s="46" t="s">
        <v>49</v>
      </c>
      <c r="H1" s="46" t="s">
        <v>50</v>
      </c>
      <c r="I1" s="46" t="s">
        <v>51</v>
      </c>
      <c r="J1" s="46" t="s">
        <v>52</v>
      </c>
      <c r="K1" s="46" t="s">
        <v>53</v>
      </c>
      <c r="L1" s="47" t="s">
        <v>54</v>
      </c>
      <c r="M1" s="46" t="s">
        <v>55</v>
      </c>
      <c r="N1" s="47" t="s">
        <v>45</v>
      </c>
      <c r="O1" s="46" t="s">
        <v>56</v>
      </c>
      <c r="P1" s="47" t="s">
        <v>57</v>
      </c>
      <c r="Q1" s="46" t="s">
        <v>58</v>
      </c>
      <c r="R1" s="46" t="s">
        <v>43</v>
      </c>
      <c r="S1" s="46" t="s">
        <v>59</v>
      </c>
      <c r="T1" s="46" t="s">
        <v>60</v>
      </c>
      <c r="U1" s="46" t="s">
        <v>61</v>
      </c>
      <c r="V1" s="48" t="s">
        <v>62</v>
      </c>
    </row>
    <row r="2" spans="1:27" x14ac:dyDescent="0.3">
      <c r="A2" s="220" t="s">
        <v>19</v>
      </c>
      <c r="B2" s="181" t="s">
        <v>66</v>
      </c>
      <c r="C2" s="39">
        <v>0.43053151322383792</v>
      </c>
      <c r="D2" s="39">
        <v>1496.5400104391686</v>
      </c>
      <c r="E2" s="39">
        <v>14201.23795490936</v>
      </c>
      <c r="F2" s="39">
        <v>9.5024003030036858E-2</v>
      </c>
      <c r="G2" s="39">
        <v>1.156225174093152</v>
      </c>
      <c r="H2" s="39">
        <v>6.480314241867017</v>
      </c>
      <c r="I2" s="39">
        <v>35.088708988640228</v>
      </c>
      <c r="J2" s="39">
        <v>3.9637339723409921</v>
      </c>
      <c r="K2" s="39">
        <v>0.22961536687006864</v>
      </c>
      <c r="L2" s="39">
        <v>147766.88571121212</v>
      </c>
      <c r="M2" s="39">
        <v>18807.975163079038</v>
      </c>
      <c r="N2" s="39">
        <v>117129.16089424651</v>
      </c>
      <c r="O2" s="39">
        <v>5179.1205589007013</v>
      </c>
      <c r="P2" s="39">
        <v>4799.1354649111545</v>
      </c>
      <c r="Q2" s="39">
        <v>340.3900075155388</v>
      </c>
      <c r="R2" s="39">
        <v>361.30558307929294</v>
      </c>
      <c r="S2" s="39">
        <v>105.2014277170625</v>
      </c>
      <c r="T2" s="39">
        <v>1.2388152717375058</v>
      </c>
      <c r="U2" s="39">
        <v>431.7911961588884</v>
      </c>
      <c r="V2" s="41">
        <v>241.42918128958777</v>
      </c>
    </row>
    <row r="3" spans="1:27" x14ac:dyDescent="0.3">
      <c r="A3" s="221"/>
      <c r="B3" s="181" t="s">
        <v>73</v>
      </c>
      <c r="C3" s="39">
        <v>0.44418285325844359</v>
      </c>
      <c r="D3" s="39">
        <v>1543.130143001342</v>
      </c>
      <c r="E3" s="39">
        <v>13835.013071722193</v>
      </c>
      <c r="F3" s="39">
        <v>6.440256528277169E-2</v>
      </c>
      <c r="G3" s="39">
        <v>2.2106867872299598</v>
      </c>
      <c r="H3" s="39">
        <v>7.6978952864393806</v>
      </c>
      <c r="I3" s="39">
        <v>26.142586360046096</v>
      </c>
      <c r="J3" s="39">
        <v>6.9993292381362808</v>
      </c>
      <c r="K3" s="39">
        <v>0.96299639412580906</v>
      </c>
      <c r="L3" s="39">
        <v>121369.22354160783</v>
      </c>
      <c r="M3" s="39">
        <v>15450.260167523389</v>
      </c>
      <c r="N3" s="39">
        <v>121096.18168756743</v>
      </c>
      <c r="O3" s="39">
        <v>12067.07794592716</v>
      </c>
      <c r="P3" s="39">
        <v>826.93977933000588</v>
      </c>
      <c r="Q3" s="39">
        <v>294.36488070354307</v>
      </c>
      <c r="R3" s="39">
        <v>139.89229656171702</v>
      </c>
      <c r="S3" s="39">
        <v>50.409501363937039</v>
      </c>
      <c r="T3" s="39">
        <v>1.3381395639692875</v>
      </c>
      <c r="U3" s="39">
        <v>245.53181771115621</v>
      </c>
      <c r="V3" s="41">
        <v>154.129105692265</v>
      </c>
    </row>
    <row r="4" spans="1:27" x14ac:dyDescent="0.3">
      <c r="A4" s="221"/>
      <c r="B4" s="181" t="s">
        <v>78</v>
      </c>
      <c r="C4" s="39">
        <v>0.43280607748582361</v>
      </c>
      <c r="D4" s="39">
        <v>1581.9945153048554</v>
      </c>
      <c r="E4" s="39">
        <v>13814.692332851082</v>
      </c>
      <c r="F4" s="39">
        <v>9.4188070219525633E-2</v>
      </c>
      <c r="G4" s="39">
        <v>3.0990856313022044</v>
      </c>
      <c r="H4" s="39">
        <v>16.159671543729718</v>
      </c>
      <c r="I4" s="39">
        <v>32.963684782869478</v>
      </c>
      <c r="J4" s="39">
        <v>4.7362610534256602</v>
      </c>
      <c r="K4" s="39">
        <v>0.40884494240021368</v>
      </c>
      <c r="L4" s="39">
        <v>135522.4618191325</v>
      </c>
      <c r="M4" s="39">
        <v>34718.772985982854</v>
      </c>
      <c r="N4" s="39">
        <v>109198.30143433674</v>
      </c>
      <c r="O4" s="39">
        <v>12137.941878113284</v>
      </c>
      <c r="P4" s="39">
        <v>3433.1446086642541</v>
      </c>
      <c r="Q4" s="39">
        <v>382.92462350233228</v>
      </c>
      <c r="R4" s="39">
        <v>285.67061572560317</v>
      </c>
      <c r="S4" s="39">
        <v>107.38773697004434</v>
      </c>
      <c r="T4" s="39">
        <v>1.5604547673389562</v>
      </c>
      <c r="U4" s="39">
        <v>382.69255110142365</v>
      </c>
      <c r="V4" s="41">
        <v>240.77246931035782</v>
      </c>
    </row>
    <row r="5" spans="1:27" x14ac:dyDescent="0.3">
      <c r="A5" s="221"/>
      <c r="B5" s="181" t="s">
        <v>83</v>
      </c>
      <c r="C5" s="39">
        <v>0.43785194084205659</v>
      </c>
      <c r="D5" s="39">
        <v>1538.9578651955876</v>
      </c>
      <c r="E5" s="39">
        <v>13118.519325623121</v>
      </c>
      <c r="F5" s="39">
        <v>7.4374974218230569E-2</v>
      </c>
      <c r="G5" s="39">
        <v>1.7641525613787348</v>
      </c>
      <c r="H5" s="39">
        <v>4.2983287571452715</v>
      </c>
      <c r="I5" s="39">
        <v>29.422166907539836</v>
      </c>
      <c r="J5" s="39">
        <v>6.7659869490600721</v>
      </c>
      <c r="K5" s="39">
        <v>0.39769688742319875</v>
      </c>
      <c r="L5" s="39">
        <v>79657.318176471119</v>
      </c>
      <c r="M5" s="39">
        <v>13948.897813733285</v>
      </c>
      <c r="N5" s="39">
        <v>84156.506937351951</v>
      </c>
      <c r="O5" s="39">
        <v>7343.9317476127017</v>
      </c>
      <c r="P5" s="39">
        <v>188.21746603333875</v>
      </c>
      <c r="Q5" s="39">
        <v>45.273280193817151</v>
      </c>
      <c r="R5" s="39">
        <v>221.10540195649486</v>
      </c>
      <c r="S5" s="39">
        <v>91.605694207839903</v>
      </c>
      <c r="T5" s="39">
        <v>2.9929762406901945</v>
      </c>
      <c r="U5" s="39">
        <v>574.37669203456244</v>
      </c>
      <c r="V5" s="41">
        <v>354.14187612483011</v>
      </c>
    </row>
    <row r="6" spans="1:27" x14ac:dyDescent="0.3">
      <c r="A6" s="221"/>
      <c r="B6" s="181" t="s">
        <v>84</v>
      </c>
      <c r="C6" s="39">
        <v>0.45122770157690589</v>
      </c>
      <c r="D6" s="39">
        <v>1540.0653444097336</v>
      </c>
      <c r="E6" s="39">
        <v>14996.46722420484</v>
      </c>
      <c r="F6" s="39">
        <v>8.2015471937170931E-2</v>
      </c>
      <c r="G6" s="39">
        <v>1.0472543691384031</v>
      </c>
      <c r="H6" s="39">
        <v>7.1338200110978036</v>
      </c>
      <c r="I6" s="39">
        <v>24.978611012521007</v>
      </c>
      <c r="J6" s="39">
        <v>4.8447979773547551</v>
      </c>
      <c r="K6" s="39" t="s">
        <v>65</v>
      </c>
      <c r="L6" s="39">
        <v>112986.16240456018</v>
      </c>
      <c r="M6" s="39">
        <v>8959.3033097208172</v>
      </c>
      <c r="N6" s="39">
        <v>118464.68672768491</v>
      </c>
      <c r="O6" s="39">
        <v>4130.4285130653825</v>
      </c>
      <c r="P6" s="39">
        <v>39473.111333165376</v>
      </c>
      <c r="Q6" s="39">
        <v>433.78531976127488</v>
      </c>
      <c r="R6" s="39">
        <v>277.66902672687809</v>
      </c>
      <c r="S6" s="39">
        <v>133.6677925318921</v>
      </c>
      <c r="T6" s="39">
        <v>1.1123138167123465</v>
      </c>
      <c r="U6" s="39">
        <v>368.08825884760677</v>
      </c>
      <c r="V6" s="41">
        <v>207.71173015583</v>
      </c>
    </row>
    <row r="7" spans="1:27" x14ac:dyDescent="0.3">
      <c r="A7" s="221"/>
      <c r="B7" s="181" t="s">
        <v>88</v>
      </c>
      <c r="C7" s="39">
        <v>0.46792321308883378</v>
      </c>
      <c r="D7" s="39">
        <v>1477.0929263948281</v>
      </c>
      <c r="E7" s="39">
        <v>13691.167650458188</v>
      </c>
      <c r="F7" s="39">
        <v>7.1962538356044756E-2</v>
      </c>
      <c r="G7" s="39">
        <v>2.7362975552136262</v>
      </c>
      <c r="H7" s="39">
        <v>10.141899205986599</v>
      </c>
      <c r="I7" s="39">
        <v>27.361468155686524</v>
      </c>
      <c r="J7" s="39">
        <v>2.02141207209415</v>
      </c>
      <c r="K7" s="39">
        <v>1.084806635682767</v>
      </c>
      <c r="L7" s="39">
        <v>98189.220860870802</v>
      </c>
      <c r="M7" s="39">
        <v>20366.449916912559</v>
      </c>
      <c r="N7" s="39">
        <v>137242.16054792239</v>
      </c>
      <c r="O7" s="39">
        <v>11810.666644880419</v>
      </c>
      <c r="P7" s="39">
        <v>19435.30746687538</v>
      </c>
      <c r="Q7" s="39">
        <v>3352.2883600629084</v>
      </c>
      <c r="R7" s="39">
        <v>346.13338839179994</v>
      </c>
      <c r="S7" s="39">
        <v>71.427507094925573</v>
      </c>
      <c r="T7" s="39">
        <v>0.98364474087481724</v>
      </c>
      <c r="U7" s="39">
        <v>62.773392182899201</v>
      </c>
      <c r="V7" s="41">
        <v>33.134158827172868</v>
      </c>
    </row>
    <row r="8" spans="1:27" ht="16.2" thickBot="1" x14ac:dyDescent="0.35">
      <c r="A8" s="222"/>
      <c r="B8" s="182" t="s">
        <v>97</v>
      </c>
      <c r="C8" s="42">
        <v>0.46503049816055836</v>
      </c>
      <c r="D8" s="42">
        <v>1476.1021500887864</v>
      </c>
      <c r="E8" s="42">
        <v>16667.597709999853</v>
      </c>
      <c r="F8" s="42">
        <v>7.391625602514873E-2</v>
      </c>
      <c r="G8" s="42">
        <v>1.9987570555685874</v>
      </c>
      <c r="H8" s="42">
        <v>12.140663131931603</v>
      </c>
      <c r="I8" s="42">
        <v>29.518270170808854</v>
      </c>
      <c r="J8" s="42">
        <v>2.8725581353840441</v>
      </c>
      <c r="K8" s="42">
        <v>0.34628541040012822</v>
      </c>
      <c r="L8" s="42">
        <v>179034.03277100634</v>
      </c>
      <c r="M8" s="42">
        <v>31682.21188316671</v>
      </c>
      <c r="N8" s="42">
        <v>148288.37601287768</v>
      </c>
      <c r="O8" s="42">
        <v>13562.442801231638</v>
      </c>
      <c r="P8" s="42">
        <v>1745.7909185894623</v>
      </c>
      <c r="Q8" s="42">
        <v>159.70002866654309</v>
      </c>
      <c r="R8" s="42">
        <v>373.85537442078197</v>
      </c>
      <c r="S8" s="42">
        <v>146.5543246975808</v>
      </c>
      <c r="T8" s="42">
        <v>1.5543380589129157</v>
      </c>
      <c r="U8" s="42">
        <v>404.36290176052881</v>
      </c>
      <c r="V8" s="43">
        <v>277.40407277245487</v>
      </c>
    </row>
    <row r="9" spans="1:27" ht="16.2" thickBot="1" x14ac:dyDescent="0.35"/>
    <row r="10" spans="1:27" ht="16.2" thickBot="1" x14ac:dyDescent="0.35">
      <c r="B10" s="183" t="s">
        <v>192</v>
      </c>
      <c r="C10" s="184">
        <f>STDEV(C2:C8)</f>
        <v>1.4972258527803617E-2</v>
      </c>
      <c r="D10" s="184">
        <f t="shared" ref="D10:V10" si="0">STDEV(D2:D8)</f>
        <v>39.64681085990069</v>
      </c>
      <c r="E10" s="184">
        <f t="shared" si="0"/>
        <v>1176.9619559876526</v>
      </c>
      <c r="F10" s="184">
        <f t="shared" si="0"/>
        <v>1.158445363225083E-2</v>
      </c>
      <c r="G10" s="184">
        <f t="shared" si="0"/>
        <v>0.76045992821449693</v>
      </c>
      <c r="H10" s="184">
        <f t="shared" si="0"/>
        <v>3.997977612437523</v>
      </c>
      <c r="I10" s="184">
        <f t="shared" si="0"/>
        <v>3.6372088989169642</v>
      </c>
      <c r="J10" s="184">
        <f t="shared" si="0"/>
        <v>1.851340800565868</v>
      </c>
      <c r="K10" s="184">
        <f t="shared" si="0"/>
        <v>0.35805691550109475</v>
      </c>
      <c r="L10" s="184">
        <f t="shared" si="0"/>
        <v>32865.861971944381</v>
      </c>
      <c r="M10" s="184">
        <f t="shared" si="0"/>
        <v>9413.4102197511093</v>
      </c>
      <c r="N10" s="184">
        <f t="shared" si="0"/>
        <v>20444.888374747086</v>
      </c>
      <c r="O10" s="184">
        <f t="shared" si="0"/>
        <v>3819.5088110786787</v>
      </c>
      <c r="P10" s="184">
        <f t="shared" si="0"/>
        <v>14585.429923154374</v>
      </c>
      <c r="Q10" s="184">
        <f t="shared" si="0"/>
        <v>1170.3847052566273</v>
      </c>
      <c r="R10" s="184">
        <f t="shared" si="0"/>
        <v>84.29306155877876</v>
      </c>
      <c r="S10" s="184">
        <f t="shared" si="0"/>
        <v>33.4737228051861</v>
      </c>
      <c r="T10" s="184">
        <f t="shared" si="0"/>
        <v>0.67523704341746627</v>
      </c>
      <c r="U10" s="184">
        <f t="shared" si="0"/>
        <v>160.5946055365184</v>
      </c>
      <c r="V10" s="184">
        <f t="shared" si="0"/>
        <v>101.20033016438376</v>
      </c>
    </row>
    <row r="11" spans="1:27" ht="16.2" thickBot="1" x14ac:dyDescent="0.35">
      <c r="B11" s="183" t="s">
        <v>114</v>
      </c>
      <c r="C11">
        <f>SUM(C2:C8)/7</f>
        <v>0.4470791139480656</v>
      </c>
      <c r="D11">
        <f t="shared" ref="D11:V11" si="1">SUM(D2:D8)/7</f>
        <v>1521.9832792620432</v>
      </c>
      <c r="E11">
        <f t="shared" si="1"/>
        <v>14332.099324252662</v>
      </c>
      <c r="F11">
        <f t="shared" si="1"/>
        <v>7.9411982724132732E-2</v>
      </c>
      <c r="G11">
        <f t="shared" si="1"/>
        <v>2.0017798762749526</v>
      </c>
      <c r="H11">
        <f t="shared" si="1"/>
        <v>9.1503703111710557</v>
      </c>
      <c r="I11">
        <f t="shared" si="1"/>
        <v>29.353642339730289</v>
      </c>
      <c r="J11">
        <f t="shared" si="1"/>
        <v>4.6005827711137082</v>
      </c>
      <c r="K11">
        <f t="shared" si="1"/>
        <v>0.49003509098602649</v>
      </c>
      <c r="L11">
        <f t="shared" si="1"/>
        <v>124932.18646926584</v>
      </c>
      <c r="M11">
        <f t="shared" si="1"/>
        <v>20561.981605731238</v>
      </c>
      <c r="N11">
        <f t="shared" si="1"/>
        <v>119367.91060599823</v>
      </c>
      <c r="O11">
        <f t="shared" si="1"/>
        <v>9461.6585842473269</v>
      </c>
      <c r="P11">
        <f t="shared" si="1"/>
        <v>9985.9495767955686</v>
      </c>
      <c r="Q11">
        <f t="shared" si="1"/>
        <v>715.53235720085115</v>
      </c>
      <c r="R11">
        <f t="shared" si="1"/>
        <v>286.51881240893829</v>
      </c>
      <c r="S11">
        <f t="shared" si="1"/>
        <v>100.89342636904031</v>
      </c>
      <c r="T11">
        <f t="shared" si="1"/>
        <v>1.5400974943194317</v>
      </c>
      <c r="U11">
        <f t="shared" si="1"/>
        <v>352.80240139958084</v>
      </c>
      <c r="V11">
        <f t="shared" si="1"/>
        <v>215.53179916749974</v>
      </c>
    </row>
    <row r="12" spans="1:27" ht="16.2" thickBot="1" x14ac:dyDescent="0.35"/>
    <row r="13" spans="1:27" ht="16.2" thickBot="1" x14ac:dyDescent="0.35">
      <c r="B13" s="183" t="s">
        <v>193</v>
      </c>
      <c r="C13" s="185">
        <f>C10/C11</f>
        <v>3.3489058335976866E-2</v>
      </c>
      <c r="D13" s="185">
        <f t="shared" ref="D13:V13" si="2">D10/D11</f>
        <v>2.604943917591792E-2</v>
      </c>
      <c r="E13" s="185">
        <f t="shared" si="2"/>
        <v>8.2120694907270642E-2</v>
      </c>
      <c r="F13" s="185">
        <f t="shared" si="2"/>
        <v>0.14587790450332627</v>
      </c>
      <c r="G13" s="185">
        <f t="shared" si="2"/>
        <v>0.37989188383170891</v>
      </c>
      <c r="H13" s="185">
        <f t="shared" si="2"/>
        <v>0.43691976132995053</v>
      </c>
      <c r="I13" s="185">
        <f t="shared" si="2"/>
        <v>0.12390996854226793</v>
      </c>
      <c r="J13" s="185">
        <f t="shared" si="2"/>
        <v>0.40241440979828208</v>
      </c>
      <c r="K13" s="185">
        <f t="shared" si="2"/>
        <v>0.73067607215766694</v>
      </c>
      <c r="L13" s="185">
        <f t="shared" si="2"/>
        <v>0.26306961320996014</v>
      </c>
      <c r="M13" s="185">
        <f t="shared" si="2"/>
        <v>0.45780656749188564</v>
      </c>
      <c r="N13" s="185">
        <f t="shared" si="2"/>
        <v>0.17127625231064178</v>
      </c>
      <c r="O13" s="185">
        <f t="shared" si="2"/>
        <v>0.40368279800729251</v>
      </c>
      <c r="P13" s="185">
        <f t="shared" si="2"/>
        <v>1.4605951903709442</v>
      </c>
      <c r="Q13" s="185">
        <f t="shared" si="2"/>
        <v>1.6356838282410453</v>
      </c>
      <c r="R13" s="185">
        <f t="shared" si="2"/>
        <v>0.29419730191562504</v>
      </c>
      <c r="S13" s="185">
        <f t="shared" si="2"/>
        <v>0.33177307987091703</v>
      </c>
      <c r="T13" s="185">
        <f t="shared" si="2"/>
        <v>0.43843785598511942</v>
      </c>
      <c r="U13" s="185">
        <f t="shared" si="2"/>
        <v>0.45519703068752754</v>
      </c>
      <c r="V13" s="185">
        <f t="shared" si="2"/>
        <v>0.46953781555795532</v>
      </c>
    </row>
    <row r="14" spans="1:27" ht="16.2" thickBot="1" x14ac:dyDescent="0.35"/>
    <row r="15" spans="1:27" x14ac:dyDescent="0.3">
      <c r="A15" s="223" t="s">
        <v>18</v>
      </c>
      <c r="B15" s="186" t="s">
        <v>27</v>
      </c>
      <c r="C15" s="187">
        <v>0.44314805386162148</v>
      </c>
      <c r="D15" s="188">
        <v>1463.2495395004203</v>
      </c>
      <c r="E15" s="188">
        <v>8898.3562478568801</v>
      </c>
      <c r="F15" s="188">
        <v>7.9042373553420572E-2</v>
      </c>
      <c r="G15" s="188">
        <v>0.29109498833817982</v>
      </c>
      <c r="H15" s="188">
        <v>6.994109046852329</v>
      </c>
      <c r="I15" s="188">
        <v>26.87114984860219</v>
      </c>
      <c r="J15" s="188">
        <v>3.233499317703687</v>
      </c>
      <c r="K15" s="188">
        <v>0.30987692995021276</v>
      </c>
      <c r="L15" s="188">
        <v>92719.720550985861</v>
      </c>
      <c r="M15" s="188">
        <v>14998.125635205677</v>
      </c>
      <c r="N15" s="188">
        <v>73110.389833408321</v>
      </c>
      <c r="O15" s="188">
        <v>5603.147860128397</v>
      </c>
      <c r="P15" s="188">
        <v>34490.292858833578</v>
      </c>
      <c r="Q15" s="188">
        <v>1436.6015373105145</v>
      </c>
      <c r="R15" s="188">
        <v>265.43938796482155</v>
      </c>
      <c r="S15" s="188">
        <v>93.101465282901543</v>
      </c>
      <c r="T15" s="188">
        <v>1.2047657720091531</v>
      </c>
      <c r="U15" s="188">
        <v>143.13228054309161</v>
      </c>
      <c r="V15" s="189">
        <v>83.177760110158459</v>
      </c>
      <c r="X15" s="65"/>
      <c r="Y15" s="65"/>
      <c r="AA15" s="65"/>
    </row>
    <row r="16" spans="1:27" x14ac:dyDescent="0.3">
      <c r="A16" s="224"/>
      <c r="B16" s="190" t="s">
        <v>72</v>
      </c>
      <c r="C16" s="191">
        <v>0.42870825960644365</v>
      </c>
      <c r="D16" s="192">
        <v>1545.9886457675468</v>
      </c>
      <c r="E16" s="192">
        <v>7603.1600904970328</v>
      </c>
      <c r="F16" s="192">
        <v>7.1834561451956824E-2</v>
      </c>
      <c r="G16" s="192">
        <v>1.919876232639639</v>
      </c>
      <c r="H16" s="192">
        <v>10.623099272066508</v>
      </c>
      <c r="I16" s="192">
        <v>27.853482968948381</v>
      </c>
      <c r="J16" s="192">
        <v>2.9856404586983181</v>
      </c>
      <c r="K16" s="192">
        <v>0.18681481775843531</v>
      </c>
      <c r="L16" s="192">
        <v>63668.552938072324</v>
      </c>
      <c r="M16" s="192">
        <v>2305.0053497429753</v>
      </c>
      <c r="N16" s="192">
        <v>66839.089557020372</v>
      </c>
      <c r="O16" s="192">
        <v>1588.4735293438393</v>
      </c>
      <c r="P16" s="192">
        <v>11424.275006297594</v>
      </c>
      <c r="Q16" s="192">
        <v>1360.4521055165101</v>
      </c>
      <c r="R16" s="192">
        <v>88.330703562953232</v>
      </c>
      <c r="S16" s="192">
        <v>36.391398934855388</v>
      </c>
      <c r="T16" s="192">
        <v>0.39042938300758284</v>
      </c>
      <c r="U16" s="192">
        <v>40.7301702762554</v>
      </c>
      <c r="V16" s="193">
        <v>24.473594802571746</v>
      </c>
      <c r="X16" s="65"/>
      <c r="Y16" s="65"/>
      <c r="AA16" s="65"/>
    </row>
    <row r="17" spans="1:27" x14ac:dyDescent="0.3">
      <c r="A17" s="224"/>
      <c r="B17" s="190" t="s">
        <v>29</v>
      </c>
      <c r="C17" s="191">
        <v>0.4460675128620315</v>
      </c>
      <c r="D17" s="192">
        <v>1564.332759418515</v>
      </c>
      <c r="E17" s="192">
        <v>9291.8729619525839</v>
      </c>
      <c r="F17" s="192">
        <v>7.4626615390460657E-2</v>
      </c>
      <c r="G17" s="192">
        <v>3.1142700132462164</v>
      </c>
      <c r="H17" s="192">
        <v>4.5801944040405207</v>
      </c>
      <c r="I17" s="192">
        <v>12.760673266833575</v>
      </c>
      <c r="J17" s="192">
        <v>1.5308747305609538</v>
      </c>
      <c r="K17" s="192">
        <v>0.20193644609214195</v>
      </c>
      <c r="L17" s="192">
        <v>99230.745322473696</v>
      </c>
      <c r="M17" s="192">
        <v>15125.858513062894</v>
      </c>
      <c r="N17" s="192">
        <v>86466.088970960147</v>
      </c>
      <c r="O17" s="192">
        <v>3920.8454642632837</v>
      </c>
      <c r="P17" s="192">
        <v>19691.831045216877</v>
      </c>
      <c r="Q17" s="192">
        <v>272.61818336155409</v>
      </c>
      <c r="R17" s="192">
        <v>410.58181666261288</v>
      </c>
      <c r="S17" s="192">
        <v>250.52300278751096</v>
      </c>
      <c r="T17" s="192">
        <v>1.0888957544491238</v>
      </c>
      <c r="U17" s="192">
        <v>160.13259179900675</v>
      </c>
      <c r="V17" s="193">
        <v>80.966566785192413</v>
      </c>
      <c r="X17" s="65"/>
      <c r="Y17" s="65"/>
      <c r="AA17" s="65"/>
    </row>
    <row r="18" spans="1:27" x14ac:dyDescent="0.3">
      <c r="A18" s="224"/>
      <c r="B18" s="190" t="s">
        <v>28</v>
      </c>
      <c r="C18" s="191">
        <v>0.43263464581620215</v>
      </c>
      <c r="D18" s="192">
        <v>1579.4468608353577</v>
      </c>
      <c r="E18" s="192">
        <v>9624.2355048201262</v>
      </c>
      <c r="F18" s="192">
        <v>5.95140169688484E-2</v>
      </c>
      <c r="G18" s="192">
        <v>1.8416301920250242</v>
      </c>
      <c r="H18" s="192">
        <v>12.35512738951306</v>
      </c>
      <c r="I18" s="192">
        <v>15.637257638036971</v>
      </c>
      <c r="J18" s="192">
        <v>5.1474121081754305</v>
      </c>
      <c r="K18" s="192">
        <v>0.28574387642280141</v>
      </c>
      <c r="L18" s="192">
        <v>64417.700332574925</v>
      </c>
      <c r="M18" s="192">
        <v>8802.0772283520855</v>
      </c>
      <c r="N18" s="192">
        <v>61120.91064140846</v>
      </c>
      <c r="O18" s="192">
        <v>6904.1688661417138</v>
      </c>
      <c r="P18" s="192">
        <v>188.70728056130702</v>
      </c>
      <c r="Q18" s="192">
        <v>77.325412858446512</v>
      </c>
      <c r="R18" s="192">
        <v>72.583164734953812</v>
      </c>
      <c r="S18" s="192">
        <v>16.898171752359897</v>
      </c>
      <c r="T18" s="192">
        <v>1.2847495211576889</v>
      </c>
      <c r="U18" s="192">
        <v>445.34001044785339</v>
      </c>
      <c r="V18" s="193">
        <v>209.43930867197878</v>
      </c>
      <c r="X18" s="65"/>
      <c r="Y18" s="65"/>
      <c r="AA18" s="65"/>
    </row>
    <row r="19" spans="1:27" ht="16.2" thickBot="1" x14ac:dyDescent="0.35">
      <c r="A19" s="225"/>
      <c r="B19" s="194" t="s">
        <v>90</v>
      </c>
      <c r="C19" s="195">
        <v>0.42763306341589841</v>
      </c>
      <c r="D19" s="196">
        <v>1506.4383974170255</v>
      </c>
      <c r="E19" s="196">
        <v>7779.0987949738883</v>
      </c>
      <c r="F19" s="196">
        <v>8.7014362383486143E-2</v>
      </c>
      <c r="G19" s="196">
        <v>3.9989743040397858</v>
      </c>
      <c r="H19" s="196">
        <v>7.5454424130104387</v>
      </c>
      <c r="I19" s="196">
        <v>23.560685038601612</v>
      </c>
      <c r="J19" s="196">
        <v>3.1761723017606149</v>
      </c>
      <c r="K19" s="196">
        <v>0.33408041360549118</v>
      </c>
      <c r="L19" s="196">
        <v>119829.18142069246</v>
      </c>
      <c r="M19" s="196">
        <v>11873.643495995613</v>
      </c>
      <c r="N19" s="196">
        <v>63365.980453142794</v>
      </c>
      <c r="O19" s="196">
        <v>3067.2455238920538</v>
      </c>
      <c r="P19" s="196">
        <v>26369.847535152294</v>
      </c>
      <c r="Q19" s="196">
        <v>1668.7044776904081</v>
      </c>
      <c r="R19" s="196">
        <v>110.73371560327887</v>
      </c>
      <c r="S19" s="196">
        <v>60.622461502239581</v>
      </c>
      <c r="T19" s="196">
        <v>1.0760615584139701</v>
      </c>
      <c r="U19" s="196">
        <v>195.81104862167564</v>
      </c>
      <c r="V19" s="197">
        <v>117.81009875079803</v>
      </c>
      <c r="X19" s="65"/>
      <c r="Y19" s="65"/>
      <c r="AA19" s="65"/>
    </row>
    <row r="20" spans="1:27" ht="16.2" thickBot="1" x14ac:dyDescent="0.35"/>
    <row r="21" spans="1:27" ht="16.2" thickBot="1" x14ac:dyDescent="0.35">
      <c r="B21" s="183" t="s">
        <v>192</v>
      </c>
      <c r="C21" s="184">
        <f>STDEV(C15:C19)</f>
        <v>8.4601432473548673E-3</v>
      </c>
      <c r="D21" s="184">
        <f t="shared" ref="D21:V21" si="3">STDEV(D15:D19)</f>
        <v>47.096327743309089</v>
      </c>
      <c r="E21" s="184">
        <f t="shared" si="3"/>
        <v>905.06789442482182</v>
      </c>
      <c r="F21" s="184">
        <f t="shared" si="3"/>
        <v>1.0110624200962511E-2</v>
      </c>
      <c r="G21" s="184">
        <f t="shared" si="3"/>
        <v>1.4069038551302517</v>
      </c>
      <c r="H21" s="184">
        <f t="shared" si="3"/>
        <v>3.0773769735822216</v>
      </c>
      <c r="I21" s="184">
        <f t="shared" si="3"/>
        <v>6.7837412722570134</v>
      </c>
      <c r="J21" s="184">
        <f t="shared" si="3"/>
        <v>1.286948882092017</v>
      </c>
      <c r="K21" s="184">
        <f t="shared" si="3"/>
        <v>6.5760381984027297E-2</v>
      </c>
      <c r="L21" s="184">
        <f t="shared" si="3"/>
        <v>24029.371452916399</v>
      </c>
      <c r="M21" s="184">
        <f t="shared" si="3"/>
        <v>5326.4984237460958</v>
      </c>
      <c r="N21" s="184">
        <f t="shared" si="3"/>
        <v>10167.147120946651</v>
      </c>
      <c r="O21" s="184">
        <f t="shared" si="3"/>
        <v>2089.3226430044588</v>
      </c>
      <c r="P21" s="184">
        <f t="shared" si="3"/>
        <v>13270.185579151545</v>
      </c>
      <c r="Q21" s="184">
        <f t="shared" si="3"/>
        <v>731.66451170033645</v>
      </c>
      <c r="R21" s="184">
        <f t="shared" si="3"/>
        <v>145.561718072632</v>
      </c>
      <c r="S21" s="184">
        <f t="shared" si="3"/>
        <v>93.336344626682816</v>
      </c>
      <c r="T21" s="184">
        <f t="shared" si="3"/>
        <v>0.35632577313116459</v>
      </c>
      <c r="U21" s="184">
        <f t="shared" si="3"/>
        <v>150.29584724329069</v>
      </c>
      <c r="V21" s="184">
        <f t="shared" si="3"/>
        <v>68.178634282172553</v>
      </c>
    </row>
    <row r="22" spans="1:27" ht="16.2" thickBot="1" x14ac:dyDescent="0.35">
      <c r="B22" s="183" t="s">
        <v>114</v>
      </c>
      <c r="C22">
        <f>SUM(C15:C19)/5</f>
        <v>0.43563830711243945</v>
      </c>
      <c r="D22">
        <f t="shared" ref="D22:V22" si="4">SUM(D15:D19)/5</f>
        <v>1531.8912405877732</v>
      </c>
      <c r="E22">
        <f t="shared" si="4"/>
        <v>8639.3447200201008</v>
      </c>
      <c r="F22">
        <f t="shared" si="4"/>
        <v>7.4406385949634529E-2</v>
      </c>
      <c r="G22">
        <f t="shared" si="4"/>
        <v>2.2331691460577692</v>
      </c>
      <c r="H22">
        <f t="shared" si="4"/>
        <v>8.4195945050965726</v>
      </c>
      <c r="I22">
        <f t="shared" si="4"/>
        <v>21.336649752204544</v>
      </c>
      <c r="J22">
        <f t="shared" si="4"/>
        <v>3.2147197833798011</v>
      </c>
      <c r="K22">
        <f t="shared" si="4"/>
        <v>0.26369049676581657</v>
      </c>
      <c r="L22">
        <f t="shared" si="4"/>
        <v>87973.180112959861</v>
      </c>
      <c r="M22">
        <f t="shared" si="4"/>
        <v>10620.942044471851</v>
      </c>
      <c r="N22">
        <f t="shared" si="4"/>
        <v>70180.491891188009</v>
      </c>
      <c r="O22">
        <f t="shared" si="4"/>
        <v>4216.7762487538585</v>
      </c>
      <c r="P22">
        <f t="shared" si="4"/>
        <v>18432.990745212333</v>
      </c>
      <c r="Q22">
        <f t="shared" si="4"/>
        <v>963.14034334748669</v>
      </c>
      <c r="R22">
        <f t="shared" si="4"/>
        <v>189.53375770572404</v>
      </c>
      <c r="S22">
        <f t="shared" si="4"/>
        <v>91.507300051973459</v>
      </c>
      <c r="T22">
        <f t="shared" si="4"/>
        <v>1.0089803978075038</v>
      </c>
      <c r="U22">
        <f t="shared" si="4"/>
        <v>197.02922033757653</v>
      </c>
      <c r="V22">
        <f t="shared" si="4"/>
        <v>103.17346582413988</v>
      </c>
    </row>
    <row r="23" spans="1:27" ht="16.2" thickBot="1" x14ac:dyDescent="0.35"/>
    <row r="24" spans="1:27" ht="16.2" thickBot="1" x14ac:dyDescent="0.35">
      <c r="B24" s="183" t="s">
        <v>193</v>
      </c>
      <c r="C24" s="185">
        <f>C21/C22</f>
        <v>1.9420108629637296E-2</v>
      </c>
      <c r="D24" s="185">
        <f t="shared" ref="D24:V24" si="5">D21/D22</f>
        <v>3.0743910857038811E-2</v>
      </c>
      <c r="E24" s="185">
        <f t="shared" si="5"/>
        <v>0.1047611738801778</v>
      </c>
      <c r="F24" s="185">
        <f t="shared" si="5"/>
        <v>0.13588382330256388</v>
      </c>
      <c r="G24" s="185">
        <f t="shared" si="5"/>
        <v>0.63000326581346067</v>
      </c>
      <c r="H24" s="185">
        <f t="shared" si="5"/>
        <v>0.36550180317109277</v>
      </c>
      <c r="I24" s="185">
        <f t="shared" si="5"/>
        <v>0.31793844633720458</v>
      </c>
      <c r="J24" s="185">
        <f t="shared" si="5"/>
        <v>0.40033003459448679</v>
      </c>
      <c r="K24" s="185">
        <f t="shared" si="5"/>
        <v>0.24938472485957303</v>
      </c>
      <c r="L24" s="185">
        <f t="shared" si="5"/>
        <v>0.27314428581599592</v>
      </c>
      <c r="M24" s="185">
        <f t="shared" si="5"/>
        <v>0.50150903765815313</v>
      </c>
      <c r="N24" s="185">
        <f t="shared" si="5"/>
        <v>0.14487141436270351</v>
      </c>
      <c r="O24" s="185">
        <f t="shared" si="5"/>
        <v>0.495478659466908</v>
      </c>
      <c r="P24" s="185">
        <f t="shared" si="5"/>
        <v>0.71991494828902125</v>
      </c>
      <c r="Q24" s="185">
        <f t="shared" si="5"/>
        <v>0.75966552201246829</v>
      </c>
      <c r="R24" s="185">
        <f t="shared" si="5"/>
        <v>0.76799890338604282</v>
      </c>
      <c r="S24" s="185">
        <f t="shared" si="5"/>
        <v>1.0199879635140641</v>
      </c>
      <c r="T24" s="185">
        <f t="shared" si="5"/>
        <v>0.3531543069671661</v>
      </c>
      <c r="U24" s="185">
        <f t="shared" si="5"/>
        <v>0.76280993745894121</v>
      </c>
      <c r="V24" s="185">
        <f t="shared" si="5"/>
        <v>0.66081558603821311</v>
      </c>
    </row>
    <row r="25" spans="1:27" ht="16.2" thickBot="1" x14ac:dyDescent="0.35"/>
    <row r="26" spans="1:27" x14ac:dyDescent="0.3">
      <c r="A26" s="226" t="s">
        <v>16</v>
      </c>
      <c r="B26" s="198" t="s">
        <v>63</v>
      </c>
      <c r="C26" s="199">
        <v>0.45106878113553345</v>
      </c>
      <c r="D26" s="199">
        <v>1543.6646920397291</v>
      </c>
      <c r="E26" s="199">
        <v>4905.8715227322646</v>
      </c>
      <c r="F26" s="199">
        <v>7.7398146858595279E-2</v>
      </c>
      <c r="G26" s="199">
        <v>2.1804334790082085</v>
      </c>
      <c r="H26" s="199">
        <v>3.5338629850600847</v>
      </c>
      <c r="I26" s="199">
        <v>25.010698272645055</v>
      </c>
      <c r="J26" s="199">
        <v>2.6104596448151174</v>
      </c>
      <c r="K26" s="199">
        <v>0.32798236630400579</v>
      </c>
      <c r="L26" s="199">
        <v>40506.897369497121</v>
      </c>
      <c r="M26" s="199">
        <v>6120.4795221479308</v>
      </c>
      <c r="N26" s="199">
        <v>38813.762175593962</v>
      </c>
      <c r="O26" s="199">
        <v>2727.9783390794573</v>
      </c>
      <c r="P26" s="199">
        <v>25008.985930370491</v>
      </c>
      <c r="Q26" s="199">
        <v>1557.4538841779508</v>
      </c>
      <c r="R26" s="199">
        <v>132.5895687915615</v>
      </c>
      <c r="S26" s="199">
        <v>42.752137845789882</v>
      </c>
      <c r="T26" s="199">
        <v>1.03370281492507</v>
      </c>
      <c r="U26" s="199">
        <v>94.658579605533234</v>
      </c>
      <c r="V26" s="200">
        <v>45.655623421388697</v>
      </c>
      <c r="X26" s="65"/>
      <c r="Y26" s="65"/>
      <c r="AA26" s="65"/>
    </row>
    <row r="27" spans="1:27" x14ac:dyDescent="0.3">
      <c r="A27" s="227"/>
      <c r="B27" s="201" t="s">
        <v>70</v>
      </c>
      <c r="C27" s="39">
        <v>0.44693473555504554</v>
      </c>
      <c r="D27" s="39">
        <v>1503.8744215775203</v>
      </c>
      <c r="E27" s="39">
        <v>6189.3487510779296</v>
      </c>
      <c r="F27" s="39">
        <v>6.4923365687727427E-2</v>
      </c>
      <c r="G27" s="39">
        <v>1.9542462081318697</v>
      </c>
      <c r="H27" s="39">
        <v>6.3332520703184318</v>
      </c>
      <c r="I27" s="39">
        <v>21.981137365110939</v>
      </c>
      <c r="J27" s="39">
        <v>2.1062563398377043</v>
      </c>
      <c r="K27" s="39">
        <v>0.22687722120762993</v>
      </c>
      <c r="L27" s="39">
        <v>61786.626257764103</v>
      </c>
      <c r="M27" s="39">
        <v>7117.1030831971193</v>
      </c>
      <c r="N27" s="39">
        <v>51990.778840808489</v>
      </c>
      <c r="O27" s="39">
        <v>1568.6440973203535</v>
      </c>
      <c r="P27" s="39">
        <v>4168.0842903426237</v>
      </c>
      <c r="Q27" s="39">
        <v>0</v>
      </c>
      <c r="R27" s="39">
        <v>0</v>
      </c>
      <c r="S27" s="39">
        <v>0</v>
      </c>
      <c r="T27" s="39">
        <v>1.1712438377554515</v>
      </c>
      <c r="U27" s="39">
        <v>38.370818414707081</v>
      </c>
      <c r="V27" s="202">
        <v>19.777190691450734</v>
      </c>
      <c r="X27" s="65"/>
      <c r="Y27" s="65"/>
      <c r="AA27" s="65"/>
    </row>
    <row r="28" spans="1:27" x14ac:dyDescent="0.3">
      <c r="A28" s="227"/>
      <c r="B28" s="201" t="s">
        <v>71</v>
      </c>
      <c r="C28" s="39">
        <v>0.4510429024784367</v>
      </c>
      <c r="D28" s="39">
        <v>1566.6797750272165</v>
      </c>
      <c r="E28" s="39">
        <v>6303.0946744546973</v>
      </c>
      <c r="F28" s="39">
        <v>7.9701550783891767E-2</v>
      </c>
      <c r="G28" s="39">
        <v>0.41237216671929483</v>
      </c>
      <c r="H28" s="39">
        <v>17.793555103909178</v>
      </c>
      <c r="I28" s="39">
        <v>13.875753087244354</v>
      </c>
      <c r="J28" s="39">
        <v>4.0198439616156554</v>
      </c>
      <c r="K28" s="39">
        <v>0.26040987596753284</v>
      </c>
      <c r="L28" s="39">
        <v>61969.423089745796</v>
      </c>
      <c r="M28" s="39">
        <v>21618.724454117499</v>
      </c>
      <c r="N28" s="39">
        <v>46479.470835616608</v>
      </c>
      <c r="O28" s="39">
        <v>7706.0176369921428</v>
      </c>
      <c r="P28" s="39">
        <v>1579.9319998827605</v>
      </c>
      <c r="Q28" s="39">
        <v>950.10549739908856</v>
      </c>
      <c r="R28" s="39">
        <v>144.92393177833648</v>
      </c>
      <c r="S28" s="39">
        <v>81.904382248364001</v>
      </c>
      <c r="T28" s="39">
        <v>3.8349194110704938</v>
      </c>
      <c r="U28" s="39">
        <v>215.54262563220843</v>
      </c>
      <c r="V28" s="202">
        <v>169.17970215525347</v>
      </c>
      <c r="X28" s="65"/>
      <c r="Y28" s="65"/>
      <c r="AA28" s="65"/>
    </row>
    <row r="29" spans="1:27" x14ac:dyDescent="0.3">
      <c r="A29" s="227"/>
      <c r="B29" s="201" t="s">
        <v>80</v>
      </c>
      <c r="C29" s="39">
        <v>0.43037198049534353</v>
      </c>
      <c r="D29" s="39">
        <v>1533.136775465244</v>
      </c>
      <c r="E29" s="39">
        <v>2992.3960196394682</v>
      </c>
      <c r="F29" s="39">
        <v>2.0714460110426327E-3</v>
      </c>
      <c r="G29" s="39">
        <v>0</v>
      </c>
      <c r="H29" s="39">
        <v>0</v>
      </c>
      <c r="I29" s="39">
        <v>12.619827515848527</v>
      </c>
      <c r="J29" s="39">
        <v>0</v>
      </c>
      <c r="K29" s="39">
        <v>0.23193032243072781</v>
      </c>
      <c r="L29" s="39">
        <v>1207.3246711779541</v>
      </c>
      <c r="M29" s="39">
        <v>0</v>
      </c>
      <c r="N29" s="39">
        <v>6707.1119459735046</v>
      </c>
      <c r="O29" s="39">
        <v>89.077413869729682</v>
      </c>
      <c r="P29" s="39">
        <v>597.38364753969358</v>
      </c>
      <c r="Q29" s="39">
        <v>365.84389322494587</v>
      </c>
      <c r="R29" s="39">
        <v>0</v>
      </c>
      <c r="S29" s="39">
        <v>0</v>
      </c>
      <c r="T29" s="39">
        <v>1.7314953164410252</v>
      </c>
      <c r="U29" s="39">
        <v>111.14766299610518</v>
      </c>
      <c r="V29" s="202">
        <v>36.901447966707948</v>
      </c>
      <c r="X29" s="65"/>
      <c r="Y29" s="65"/>
      <c r="AA29" s="65"/>
    </row>
    <row r="30" spans="1:27" x14ac:dyDescent="0.3">
      <c r="A30" s="227"/>
      <c r="B30" s="201" t="s">
        <v>87</v>
      </c>
      <c r="C30" s="39">
        <v>0.46548545309375511</v>
      </c>
      <c r="D30" s="39">
        <v>1584.3486577548758</v>
      </c>
      <c r="E30" s="39">
        <v>7151.246443734909</v>
      </c>
      <c r="F30" s="39">
        <v>8.7504147151021977E-2</v>
      </c>
      <c r="G30" s="39">
        <v>1.5348090594510575</v>
      </c>
      <c r="H30" s="39">
        <v>4.9685463594525112</v>
      </c>
      <c r="I30" s="39">
        <v>17.414912023224719</v>
      </c>
      <c r="J30" s="39">
        <v>5.6190879989231961</v>
      </c>
      <c r="K30" s="39">
        <v>0.29606267135069259</v>
      </c>
      <c r="L30" s="39">
        <v>74493.556400467889</v>
      </c>
      <c r="M30" s="39">
        <v>15622.35945343666</v>
      </c>
      <c r="N30" s="39">
        <v>64475.689374190471</v>
      </c>
      <c r="O30" s="39">
        <v>5230.1673756026175</v>
      </c>
      <c r="P30" s="39">
        <v>397.07531552813305</v>
      </c>
      <c r="Q30" s="39">
        <v>71.009259436590284</v>
      </c>
      <c r="R30" s="39">
        <v>173.72442402452526</v>
      </c>
      <c r="S30" s="39">
        <v>77.521952554607211</v>
      </c>
      <c r="T30" s="39">
        <v>5.6813994486795796</v>
      </c>
      <c r="U30" s="39">
        <v>772.44387076205589</v>
      </c>
      <c r="V30" s="202">
        <v>607.3098332800505</v>
      </c>
      <c r="X30" s="65"/>
      <c r="Y30" s="65"/>
      <c r="AA30" s="65"/>
    </row>
    <row r="31" spans="1:27" ht="16.2" thickBot="1" x14ac:dyDescent="0.35">
      <c r="A31" s="228"/>
      <c r="B31" s="203" t="s">
        <v>92</v>
      </c>
      <c r="C31" s="204">
        <v>0.46743158167887983</v>
      </c>
      <c r="D31" s="204">
        <v>1527.643155211239</v>
      </c>
      <c r="E31" s="204">
        <v>6730.2161755300667</v>
      </c>
      <c r="F31" s="204">
        <v>6.4718186807462469E-2</v>
      </c>
      <c r="G31" s="204">
        <v>4.8847726996480594</v>
      </c>
      <c r="H31" s="204">
        <v>7.6600756666012044</v>
      </c>
      <c r="I31" s="204">
        <v>20.323529135525554</v>
      </c>
      <c r="J31" s="204">
        <v>2.3623622429204869</v>
      </c>
      <c r="K31" s="204">
        <v>0.22268763185417395</v>
      </c>
      <c r="L31" s="204">
        <v>78538.147078407812</v>
      </c>
      <c r="M31" s="204">
        <v>26163.262784657381</v>
      </c>
      <c r="N31" s="204">
        <v>57920.998596171819</v>
      </c>
      <c r="O31" s="204">
        <v>7760.1376616265507</v>
      </c>
      <c r="P31" s="204">
        <v>6699.0479365288775</v>
      </c>
      <c r="Q31" s="204">
        <v>1605.487442384672</v>
      </c>
      <c r="R31" s="204">
        <v>120.23581026913766</v>
      </c>
      <c r="S31" s="204">
        <v>43.175849910904347</v>
      </c>
      <c r="T31" s="204">
        <v>0.99234676966958157</v>
      </c>
      <c r="U31" s="204">
        <v>163.83943671668527</v>
      </c>
      <c r="V31" s="205">
        <v>108.36699978916916</v>
      </c>
      <c r="X31" s="65"/>
      <c r="Y31" s="65"/>
      <c r="AA31" s="65"/>
    </row>
    <row r="32" spans="1:27" ht="16.2" thickBot="1" x14ac:dyDescent="0.35"/>
    <row r="33" spans="2:22" ht="16.2" thickBot="1" x14ac:dyDescent="0.35">
      <c r="B33" s="183" t="s">
        <v>192</v>
      </c>
      <c r="C33" s="184">
        <f>STDEV(C26:C31)</f>
        <v>1.3529107445622543E-2</v>
      </c>
      <c r="D33" s="184">
        <f t="shared" ref="D33:V33" si="6">STDEV(D26:D31)</f>
        <v>28.755900995151794</v>
      </c>
      <c r="E33" s="184">
        <f t="shared" si="6"/>
        <v>1531.7661817047501</v>
      </c>
      <c r="F33" s="184">
        <f t="shared" si="6"/>
        <v>3.1000547357728846E-2</v>
      </c>
      <c r="G33" s="184">
        <f t="shared" si="6"/>
        <v>1.7271684097572686</v>
      </c>
      <c r="H33" s="184">
        <f t="shared" si="6"/>
        <v>6.0338087578356694</v>
      </c>
      <c r="I33" s="184">
        <f t="shared" si="6"/>
        <v>4.7950343023518984</v>
      </c>
      <c r="J33" s="184">
        <f t="shared" si="6"/>
        <v>1.8964645352251981</v>
      </c>
      <c r="K33" s="184">
        <f>STDEV(K26:K31)</f>
        <v>4.2880354216254614E-2</v>
      </c>
      <c r="L33" s="184">
        <f t="shared" si="6"/>
        <v>28671.735591299093</v>
      </c>
      <c r="M33" s="184">
        <f t="shared" si="6"/>
        <v>10050.468177391076</v>
      </c>
      <c r="N33" s="184">
        <f t="shared" si="6"/>
        <v>20492.704396337136</v>
      </c>
      <c r="O33" s="184">
        <f t="shared" si="6"/>
        <v>3225.4063634693243</v>
      </c>
      <c r="P33" s="184">
        <f t="shared" si="6"/>
        <v>9426.5935140104175</v>
      </c>
      <c r="Q33" s="184">
        <f t="shared" si="6"/>
        <v>720.35714588068674</v>
      </c>
      <c r="R33" s="184">
        <f t="shared" si="6"/>
        <v>75.880687558388246</v>
      </c>
      <c r="S33" s="184">
        <f t="shared" si="6"/>
        <v>35.71206051787135</v>
      </c>
      <c r="T33" s="184">
        <f t="shared" si="6"/>
        <v>1.9303488169318739</v>
      </c>
      <c r="U33" s="184">
        <f t="shared" si="6"/>
        <v>271.27617935188732</v>
      </c>
      <c r="V33" s="184">
        <f t="shared" si="6"/>
        <v>223.87649432965438</v>
      </c>
    </row>
    <row r="34" spans="2:22" ht="16.2" thickBot="1" x14ac:dyDescent="0.35">
      <c r="B34" s="183" t="s">
        <v>114</v>
      </c>
      <c r="C34">
        <f>SUM(C26:C31)/6</f>
        <v>0.452055905739499</v>
      </c>
      <c r="D34">
        <f t="shared" ref="D34:V34" si="7">SUM(D26:D31)/6</f>
        <v>1543.2245795126373</v>
      </c>
      <c r="E34">
        <f t="shared" si="7"/>
        <v>5712.02893119489</v>
      </c>
      <c r="F34">
        <f t="shared" si="7"/>
        <v>6.2719473883290258E-2</v>
      </c>
      <c r="G34">
        <f t="shared" si="7"/>
        <v>1.8277722688264149</v>
      </c>
      <c r="H34">
        <f t="shared" si="7"/>
        <v>6.7148820308902346</v>
      </c>
      <c r="I34">
        <f t="shared" si="7"/>
        <v>18.537642899933193</v>
      </c>
      <c r="J34">
        <f t="shared" si="7"/>
        <v>2.7863350313520265</v>
      </c>
      <c r="K34">
        <f t="shared" si="7"/>
        <v>0.26099168151912716</v>
      </c>
      <c r="L34">
        <f t="shared" si="7"/>
        <v>53083.662477843442</v>
      </c>
      <c r="M34">
        <f t="shared" si="7"/>
        <v>12773.654882926096</v>
      </c>
      <c r="N34">
        <f t="shared" si="7"/>
        <v>44397.968628059141</v>
      </c>
      <c r="O34">
        <f t="shared" si="7"/>
        <v>4180.3370874151424</v>
      </c>
      <c r="P34">
        <f t="shared" si="7"/>
        <v>6408.4181866987637</v>
      </c>
      <c r="Q34">
        <f t="shared" si="7"/>
        <v>758.31666277054126</v>
      </c>
      <c r="R34">
        <f t="shared" si="7"/>
        <v>95.245622477260156</v>
      </c>
      <c r="S34">
        <f t="shared" si="7"/>
        <v>40.89238709327757</v>
      </c>
      <c r="T34">
        <f t="shared" si="7"/>
        <v>2.4075179330902001</v>
      </c>
      <c r="U34">
        <f t="shared" si="7"/>
        <v>232.66716568788252</v>
      </c>
      <c r="V34">
        <f t="shared" si="7"/>
        <v>164.53179955067009</v>
      </c>
    </row>
    <row r="35" spans="2:22" ht="16.2" thickBot="1" x14ac:dyDescent="0.35"/>
    <row r="36" spans="2:22" ht="16.2" thickBot="1" x14ac:dyDescent="0.35">
      <c r="B36" s="183" t="s">
        <v>193</v>
      </c>
      <c r="C36" s="185">
        <f>C33/C34</f>
        <v>2.9927951994103145E-2</v>
      </c>
      <c r="D36" s="185">
        <f t="shared" ref="D36:V36" si="8">D33/D34</f>
        <v>1.8633646312342392E-2</v>
      </c>
      <c r="E36" s="185">
        <f t="shared" si="8"/>
        <v>0.26816499008598726</v>
      </c>
      <c r="F36" s="185">
        <f t="shared" si="8"/>
        <v>0.4942730772170591</v>
      </c>
      <c r="G36" s="185">
        <f t="shared" si="8"/>
        <v>0.94495820908053141</v>
      </c>
      <c r="H36" s="185">
        <f t="shared" si="8"/>
        <v>0.89857256316321743</v>
      </c>
      <c r="I36" s="185">
        <f t="shared" si="8"/>
        <v>0.258664724972622</v>
      </c>
      <c r="J36" s="185">
        <f t="shared" si="8"/>
        <v>0.68063047475843841</v>
      </c>
      <c r="K36" s="185">
        <f>K33/K34</f>
        <v>0.1642977813187968</v>
      </c>
      <c r="L36" s="185">
        <f t="shared" si="8"/>
        <v>0.54012353807099067</v>
      </c>
      <c r="M36" s="185">
        <f t="shared" si="8"/>
        <v>0.78681225299307511</v>
      </c>
      <c r="N36" s="185">
        <f t="shared" si="8"/>
        <v>0.46156851382128145</v>
      </c>
      <c r="O36" s="185">
        <f t="shared" si="8"/>
        <v>0.77156609527479825</v>
      </c>
      <c r="P36" s="185">
        <f t="shared" si="8"/>
        <v>1.4709704078888208</v>
      </c>
      <c r="Q36" s="185">
        <f t="shared" si="8"/>
        <v>0.94994239378682799</v>
      </c>
      <c r="R36" s="185">
        <f t="shared" si="8"/>
        <v>0.79668425261753861</v>
      </c>
      <c r="S36" s="185">
        <f t="shared" si="8"/>
        <v>0.87331806862755068</v>
      </c>
      <c r="T36" s="185">
        <f t="shared" si="8"/>
        <v>0.8018003896877105</v>
      </c>
      <c r="U36" s="185">
        <f t="shared" si="8"/>
        <v>1.1659409635642266</v>
      </c>
      <c r="V36" s="185">
        <f t="shared" si="8"/>
        <v>1.3606882981955606</v>
      </c>
    </row>
    <row r="41" spans="2:22" x14ac:dyDescent="0.3"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</row>
    <row r="42" spans="2:22" x14ac:dyDescent="0.3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</row>
    <row r="43" spans="2:22" x14ac:dyDescent="0.3"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</row>
    <row r="51" spans="19:19" x14ac:dyDescent="0.3">
      <c r="S51" s="65"/>
    </row>
  </sheetData>
  <mergeCells count="3">
    <mergeCell ref="A2:A8"/>
    <mergeCell ref="A15:A19"/>
    <mergeCell ref="A26:A3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0A962-4FD3-424F-A4DB-DEB4ECCE20FE}">
  <sheetPr codeName="Sheet18"/>
  <dimension ref="A1:V23"/>
  <sheetViews>
    <sheetView topLeftCell="B1" zoomScale="93" zoomScaleNormal="85" workbookViewId="0">
      <selection activeCell="H8" sqref="H8"/>
    </sheetView>
  </sheetViews>
  <sheetFormatPr defaultColWidth="11" defaultRowHeight="15.6" x14ac:dyDescent="0.3"/>
  <cols>
    <col min="1" max="1" width="33" bestFit="1" customWidth="1"/>
    <col min="2" max="2" width="9" bestFit="1" customWidth="1"/>
    <col min="3" max="3" width="10.5" bestFit="1" customWidth="1"/>
    <col min="4" max="4" width="12.8984375" bestFit="1" customWidth="1"/>
    <col min="5" max="5" width="10.3984375" bestFit="1" customWidth="1"/>
    <col min="6" max="6" width="16.5" bestFit="1" customWidth="1"/>
    <col min="8" max="8" width="9.3984375" bestFit="1" customWidth="1"/>
    <col min="9" max="9" width="10.59765625" bestFit="1" customWidth="1"/>
    <col min="10" max="10" width="9" bestFit="1" customWidth="1"/>
    <col min="11" max="11" width="8.8984375" bestFit="1" customWidth="1"/>
    <col min="12" max="12" width="8.5" bestFit="1" customWidth="1"/>
    <col min="13" max="13" width="8.8984375" bestFit="1" customWidth="1"/>
    <col min="14" max="14" width="8.5" bestFit="1" customWidth="1"/>
    <col min="15" max="15" width="8.8984375" bestFit="1" customWidth="1"/>
    <col min="16" max="16" width="10" bestFit="1" customWidth="1"/>
    <col min="17" max="17" width="8" bestFit="1" customWidth="1"/>
    <col min="18" max="19" width="10" bestFit="1" customWidth="1"/>
    <col min="20" max="20" width="10.59765625" bestFit="1" customWidth="1"/>
    <col min="21" max="21" width="10" bestFit="1" customWidth="1"/>
    <col min="22" max="22" width="0" hidden="1" customWidth="1"/>
  </cols>
  <sheetData>
    <row r="1" spans="1:22" ht="16.2" thickBot="1" x14ac:dyDescent="0.35">
      <c r="A1" s="151"/>
      <c r="B1" s="152" t="s">
        <v>34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</row>
    <row r="2" spans="1:22" s="150" customFormat="1" ht="46.8" x14ac:dyDescent="0.3">
      <c r="A2" s="172" t="s">
        <v>33</v>
      </c>
      <c r="B2" s="171" t="str" cm="1">
        <f t="array" ref="B2:C2">_xlfn._xlws.FILTER(Output!D1:W1,Output!D1:W1&lt;&gt;0)</f>
        <v>Surgical Cases</v>
      </c>
      <c r="C2" s="171" t="str">
        <v>Hip Fracture Cases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51"/>
    </row>
    <row r="3" spans="1:22" ht="16.2" thickBot="1" x14ac:dyDescent="0.35">
      <c r="A3" s="151" t="str" cm="1">
        <f t="array" ref="A3:A4">TRANSPOSE(_xlfn._xlws.FILTER(Input!D1:W1,Input!D1:W1&lt;&gt;0))</f>
        <v>Cost per Patient-day</v>
      </c>
      <c r="B3" s="22">
        <f>IFERROR(CORREL(_xlfn.XLOOKUP(A3,Normalized_Input!$A$3:$V$3,Normalized_Input!$A$4:$V$43),_xlfn.XLOOKUP($B$2,Normalized_Output!$A$3:$V$3,Normalized_Output!$A$4:$V$43)),0)</f>
        <v>0.99517384548655519</v>
      </c>
      <c r="C3" s="22">
        <f>IFERROR(CORREL(_xlfn.XLOOKUP(A3,Normalized_Input!$A$3:$V$3,Normalized_Input!$A$4:$V$43),_xlfn.XLOOKUP($C$2,Normalized_Output!$A$3:$V$3,Normalized_Output!$A$4:$V$43)),0)</f>
        <v>0.95257621817756943</v>
      </c>
      <c r="D3" s="22">
        <f>IFERROR(CORREL(_xlfn.XLOOKUP(A3,Normalized_Input!$A$3:$V$3,Normalized_Input!$A$4:$V$43),_xlfn.XLOOKUP($D$2,Normalized_Output!$A$3:$V$3,Normalized_Output!$A$4:$V$43)),0)</f>
        <v>0</v>
      </c>
      <c r="E3" s="22">
        <f>IFERROR(CORREL(_xlfn.XLOOKUP(A3,Normalized_Input!$A$3:$V$3,Normalized_Input!$A$4:$V$43),_xlfn.XLOOKUP($E$2,Normalized_Output!$A$3:$V$3,Normalized_Output!$A$4:$V$43)),0)</f>
        <v>0</v>
      </c>
      <c r="F3" s="22">
        <f>IFERROR(CORREL(_xlfn.XLOOKUP(A3,Normalized_Input!$A$3:$V$3,Normalized_Input!$A$4:$V$43),_xlfn.XLOOKUP($F$2,Normalized_Output!$A$3:$V$3,Normalized_Output!$A$4:$V$43)),0)</f>
        <v>0</v>
      </c>
      <c r="G3" s="22">
        <f>IFERROR(CORREL(_xlfn.XLOOKUP(A3,Normalized_Input!$A$3:$V$3,Normalized_Input!$A$4:$V$43),_xlfn.XLOOKUP($G$2,Normalized_Output!$A$3:$V$3,Normalized_Output!$A$4:$V$43)),0)</f>
        <v>0</v>
      </c>
      <c r="H3" s="22">
        <f>IFERROR(CORREL(_xlfn.XLOOKUP(A3,Normalized_Input!$A$3:$V$3,Normalized_Input!$A$4:$V$43),_xlfn.XLOOKUP($H$2,Normalized_Output!$A$3:$V$3,Normalized_Output!$A$4:$V$43)),0)</f>
        <v>0</v>
      </c>
      <c r="I3" s="22">
        <f>IFERROR(CORREL(_xlfn.XLOOKUP(A3,Normalized_Input!$A$3:$V$3,Normalized_Input!$A$4:$V$43),_xlfn.XLOOKUP($I$2,Normalized_Output!$A$3:$V$3,Normalized_Output!$A$4:$V$43)),0)</f>
        <v>0</v>
      </c>
      <c r="J3" s="22">
        <f>IFERROR(CORREL(_xlfn.XLOOKUP(A3,Normalized_Input!$A$3:$V$3,Normalized_Input!$A$4:$V$43),_xlfn.XLOOKUP($J$2,Normalized_Output!$A$3:$V$3,Normalized_Output!$A$4:$V$43)),0)</f>
        <v>0</v>
      </c>
      <c r="K3" s="22">
        <f>IFERROR(CORREL(_xlfn.XLOOKUP(A3,Normalized_Input!$A$3:$V$3,Normalized_Input!$A$4:$V$43),_xlfn.XLOOKUP($K$2,Normalized_Output!$A$3:$V$3,Normalized_Output!$A$4:$V$43)),0)</f>
        <v>0</v>
      </c>
      <c r="L3" s="22">
        <f>IFERROR(CORREL(_xlfn.XLOOKUP(A3,Normalized_Input!$A$3:$V$3,Normalized_Input!$A$4:$V$43),_xlfn.XLOOKUP($L$2,Normalized_Output!$A$3:$V$3,Normalized_Output!$A$4:$V$43)),0)</f>
        <v>0</v>
      </c>
      <c r="M3" s="22">
        <f>IFERROR(CORREL(_xlfn.XLOOKUP(A3,Normalized_Input!$A$3:$V$3,Normalized_Input!$A$4:$V$43),_xlfn.XLOOKUP($M$2,Normalized_Output!$A$3:$V$3,Normalized_Output!$A$4:$V$43)),0)</f>
        <v>0</v>
      </c>
      <c r="N3" s="22">
        <f>IFERROR(CORREL(_xlfn.XLOOKUP(A3,Normalized_Input!$A$3:$V$3,Normalized_Input!$A$4:$V$43),_xlfn.XLOOKUP($N$2,Normalized_Output!$A$3:$V$3,Normalized_Output!$A$4:$V$43)),0)</f>
        <v>0</v>
      </c>
      <c r="O3" s="22">
        <f>IFERROR(CORREL(_xlfn.XLOOKUP(A3,Normalized_Input!$A$3:$V$3,Normalized_Input!$A$4:$V$43),_xlfn.XLOOKUP($O$2,Normalized_Output!$A$3:$V$3,Normalized_Output!$A$4:$V$43)),0)</f>
        <v>0</v>
      </c>
      <c r="P3" s="22">
        <f>IFERROR(CORREL(_xlfn.XLOOKUP(A3,Normalized_Input!$A$3:$V$3,Normalized_Input!$A$4:$V$43),_xlfn.XLOOKUP($P$2,Normalized_Output!$A$3:$V$3,Normalized_Output!$A$4:$V$43)),0)</f>
        <v>0</v>
      </c>
      <c r="Q3" s="22">
        <f>IFERROR(CORREL(_xlfn.XLOOKUP(A3,Normalized_Input!$A$3:$V$3,Normalized_Input!$A$4:$V$43),_xlfn.XLOOKUP($Q$2,Normalized_Output!$A$3:$V$3,Normalized_Output!$A$4:$V$43)),0)</f>
        <v>0</v>
      </c>
      <c r="R3" s="22">
        <f>IFERROR(CORREL(_xlfn.XLOOKUP(A3,Normalized_Input!$A$3:$V$3,Normalized_Input!$A$4:$V$43),_xlfn.XLOOKUP($R$2,Normalized_Output!$A$3:$V$3,Normalized_Output!$A$4:$V$43)),0)</f>
        <v>0</v>
      </c>
      <c r="S3" s="22">
        <f>IFERROR(CORREL(_xlfn.XLOOKUP(A3,Normalized_Input!$A$3:$V$3,Normalized_Input!$A$4:$V$43),_xlfn.XLOOKUP($S$2,Normalized_Output!$A$3:$V$3,Normalized_Output!$A$4:$V$43)),0)</f>
        <v>0</v>
      </c>
      <c r="T3" s="22">
        <f>IFERROR(CORREL(_xlfn.XLOOKUP(A3,Normalized_Input!$A$3:$V$3,Normalized_Input!$A$4:$V$43),_xlfn.XLOOKUP($T$2,Normalized_Output!$A$3:$V$3,Normalized_Output!$A$4:$V$43)),0)</f>
        <v>0</v>
      </c>
      <c r="U3" s="22">
        <f>IFERROR(CORREL(_xlfn.XLOOKUP(A3,Normalized_Input!$A$3:$V$3,Normalized_Input!$A$4:$V$43),_xlfn.XLOOKUP($U$2,Normalized_Output!$A$3:$V$3,Normalized_Output!$A$4:$V$43)),0)</f>
        <v>0</v>
      </c>
      <c r="V3">
        <f>IFERROR(CORREL(_xlfn.XLOOKUP(A3,Normalized_Input!$A$3:$V$3,Normalized_Input!$A$4:$V$43),_xlfn.XLOOKUP($V$2,Normalized_Output!$A$3:$V$3,Normalized_Output!$A$4:$V$43)),0)</f>
        <v>0</v>
      </c>
    </row>
    <row r="4" spans="1:22" ht="16.2" thickBot="1" x14ac:dyDescent="0.35">
      <c r="A4" s="151" t="str">
        <v>Surgical ALC Days</v>
      </c>
      <c r="B4" s="22">
        <f>IFERROR(CORREL(_xlfn.XLOOKUP(A4,Normalized_Input!$A$3:$V$3,Normalized_Input!$A$4:$V$43),_xlfn.XLOOKUP($B$2,Normalized_Output!$A$3:$V$3,Normalized_Output!$A$4:$V$43)),0)</f>
        <v>0.92741160114998544</v>
      </c>
      <c r="C4" s="22">
        <f>IFERROR(CORREL(_xlfn.XLOOKUP(A4,Normalized_Input!$A$3:$V$3,Normalized_Input!$A$4:$V$43),_xlfn.XLOOKUP($C$2,Normalized_Output!$A$3:$V$3,Normalized_Output!$A$4:$V$43)),0)</f>
        <v>0.8846331219764958</v>
      </c>
      <c r="D4" s="22">
        <f>IFERROR(CORREL(_xlfn.XLOOKUP(A4,Normalized_Input!$A$3:$V$3,Normalized_Input!$A$4:$V$43),_xlfn.XLOOKUP($D$2,Normalized_Output!$A$3:$V$3,Normalized_Output!$A$4:$V$43)),0)</f>
        <v>0</v>
      </c>
      <c r="E4" s="22">
        <f>IFERROR(CORREL(_xlfn.XLOOKUP(A4,Normalized_Input!$A$3:$V$3,Normalized_Input!$A$4:$V$43),_xlfn.XLOOKUP($E$2,Normalized_Output!$A$3:$V$3,Normalized_Output!$A$4:$V$43)),0)</f>
        <v>0</v>
      </c>
      <c r="F4" s="22">
        <f>IFERROR(CORREL(_xlfn.XLOOKUP(A4,Normalized_Input!$A$3:$V$3,Normalized_Input!$A$4:$V$43),_xlfn.XLOOKUP($F$2,Normalized_Output!$A$3:$V$3,Normalized_Output!$A$4:$V$43)),0)</f>
        <v>0</v>
      </c>
      <c r="G4" s="22">
        <f>IFERROR(CORREL(_xlfn.XLOOKUP(A4,Normalized_Input!$A$3:$V$3,Normalized_Input!$A$4:$V$43),_xlfn.XLOOKUP($G$2,Normalized_Output!$A$3:$V$3,Normalized_Output!$A$4:$V$43)),0)</f>
        <v>0</v>
      </c>
      <c r="H4" s="22">
        <f>IFERROR(CORREL(_xlfn.XLOOKUP(A4,Normalized_Input!$A$3:$V$3,Normalized_Input!$A$4:$V$43),_xlfn.XLOOKUP($H$2,Normalized_Output!$A$3:$V$3,Normalized_Output!$A$4:$V$43)),0)</f>
        <v>0</v>
      </c>
      <c r="I4" s="22">
        <f>IFERROR(CORREL(_xlfn.XLOOKUP(A4,Normalized_Input!$A$3:$V$3,Normalized_Input!$A$4:$V$43),_xlfn.XLOOKUP($I$2,Normalized_Output!$A$3:$V$3,Normalized_Output!$A$4:$V$43)),0)</f>
        <v>0</v>
      </c>
      <c r="J4" s="22">
        <f>IFERROR(CORREL(_xlfn.XLOOKUP(A4,Normalized_Input!$A$3:$V$3,Normalized_Input!$A$4:$V$43),_xlfn.XLOOKUP($J$2,Normalized_Output!$A$3:$V$3,Normalized_Output!$A$4:$V$43)),0)</f>
        <v>0</v>
      </c>
      <c r="K4" s="22">
        <f>IFERROR(CORREL(_xlfn.XLOOKUP(A4,Normalized_Input!$A$3:$V$3,Normalized_Input!$A$4:$V$43),_xlfn.XLOOKUP($K$2,Normalized_Output!$A$3:$V$3,Normalized_Output!$A$4:$V$43)),0)</f>
        <v>0</v>
      </c>
      <c r="L4" s="22">
        <f>IFERROR(CORREL(_xlfn.XLOOKUP(A4,Normalized_Input!$A$3:$V$3,Normalized_Input!$A$4:$V$43),_xlfn.XLOOKUP($L$2,Normalized_Output!$A$3:$V$3,Normalized_Output!$A$4:$V$43)),0)</f>
        <v>0</v>
      </c>
      <c r="M4" s="22">
        <f>IFERROR(CORREL(_xlfn.XLOOKUP(A4,Normalized_Input!$A$3:$V$3,Normalized_Input!$A$4:$V$43),_xlfn.XLOOKUP($M$2,Normalized_Output!$A$3:$V$3,Normalized_Output!$A$4:$V$43)),0)</f>
        <v>0</v>
      </c>
      <c r="N4" s="22">
        <f>IFERROR(CORREL(_xlfn.XLOOKUP(A4,Normalized_Input!$A$3:$V$3,Normalized_Input!$A$4:$V$43),_xlfn.XLOOKUP($N$2,Normalized_Output!$A$3:$V$3,Normalized_Output!$A$4:$V$43)),0)</f>
        <v>0</v>
      </c>
      <c r="O4" s="22">
        <f>IFERROR(CORREL(_xlfn.XLOOKUP(A4,Normalized_Input!$A$3:$V$3,Normalized_Input!$A$4:$V$43),_xlfn.XLOOKUP($O$2,Normalized_Output!$A$3:$V$3,Normalized_Output!$A$4:$V$43)),0)</f>
        <v>0</v>
      </c>
      <c r="P4" s="22">
        <f>IFERROR(CORREL(_xlfn.XLOOKUP(A4,Normalized_Input!$A$3:$V$3,Normalized_Input!$A$4:$V$43),_xlfn.XLOOKUP($P$2,Normalized_Output!$A$3:$V$3,Normalized_Output!$A$4:$V$43)),0)</f>
        <v>0</v>
      </c>
      <c r="Q4" s="22">
        <f>IFERROR(CORREL(_xlfn.XLOOKUP(A4,Normalized_Input!$A$3:$V$3,Normalized_Input!$A$4:$V$43),_xlfn.XLOOKUP($Q$2,Normalized_Output!$A$3:$V$3,Normalized_Output!$A$4:$V$43)),0)</f>
        <v>0</v>
      </c>
      <c r="R4" s="22">
        <f>IFERROR(CORREL(_xlfn.XLOOKUP(A4,Normalized_Input!$A$3:$V$3,Normalized_Input!$A$4:$V$43),_xlfn.XLOOKUP($R$2,Normalized_Output!$A$3:$V$3,Normalized_Output!$A$4:$V$43)),0)</f>
        <v>0</v>
      </c>
      <c r="S4" s="22">
        <f>IFERROR(CORREL(_xlfn.XLOOKUP(A4,Normalized_Input!$A$3:$V$3,Normalized_Input!$A$4:$V$43),_xlfn.XLOOKUP($S$2,Normalized_Output!$A$3:$V$3,Normalized_Output!$A$4:$V$43)),0)</f>
        <v>0</v>
      </c>
      <c r="T4" s="22">
        <f>IFERROR(CORREL(_xlfn.XLOOKUP(A4,Normalized_Input!$A$3:$V$3,Normalized_Input!$A$4:$V$43),_xlfn.XLOOKUP($T$2,Normalized_Output!$A$3:$V$3,Normalized_Output!$A$4:$V$43)),0)</f>
        <v>0</v>
      </c>
      <c r="U4" s="22">
        <f>IFERROR(CORREL(_xlfn.XLOOKUP(A4,Normalized_Input!$A$3:$V$3,Normalized_Input!$A$4:$V$43),_xlfn.XLOOKUP($U$2,Normalized_Output!$A$3:$V$3,Normalized_Output!$A$4:$V$43)),0)</f>
        <v>0</v>
      </c>
      <c r="V4">
        <f>IFERROR(CORREL(_xlfn.XLOOKUP(A4,Normalized_Input!$A$3:$V$3,Normalized_Input!$A$4:$V$43),_xlfn.XLOOKUP($V$2,Normalized_Output!$A$3:$V$3,Normalized_Output!$A$4:$V$43)),0)</f>
        <v>0</v>
      </c>
    </row>
    <row r="5" spans="1:22" ht="16.2" thickBot="1" x14ac:dyDescent="0.35">
      <c r="A5" s="151"/>
      <c r="B5" s="22">
        <f>IFERROR(CORREL(_xlfn.XLOOKUP(A5,Normalized_Input!$A$3:$V$3,Normalized_Input!$A$4:$V$43),_xlfn.XLOOKUP($B$2,Normalized_Output!$A$3:$V$3,Normalized_Output!$A$4:$V$43)),0)</f>
        <v>0</v>
      </c>
      <c r="C5" s="22">
        <f>IFERROR(CORREL(_xlfn.XLOOKUP(A5,Normalized_Input!$A$3:$V$3,Normalized_Input!$A$4:$V$43),_xlfn.XLOOKUP($C$2,Normalized_Output!$A$3:$V$3,Normalized_Output!$A$4:$V$43)),0)</f>
        <v>0</v>
      </c>
      <c r="D5" s="22">
        <f>IFERROR(CORREL(_xlfn.XLOOKUP(A5,Normalized_Input!$A$3:$V$3,Normalized_Input!$A$4:$V$43),_xlfn.XLOOKUP($D$2,Normalized_Output!$A$3:$V$3,Normalized_Output!$A$4:$V$43)),0)</f>
        <v>0</v>
      </c>
      <c r="E5" s="22">
        <f>IFERROR(CORREL(_xlfn.XLOOKUP(A5,Normalized_Input!$A$3:$V$3,Normalized_Input!$A$4:$V$43),_xlfn.XLOOKUP($E$2,Normalized_Output!$A$3:$V$3,Normalized_Output!$A$4:$V$43)),0)</f>
        <v>0</v>
      </c>
      <c r="F5" s="22">
        <f>IFERROR(CORREL(_xlfn.XLOOKUP(A5,Normalized_Input!$A$3:$V$3,Normalized_Input!$A$4:$V$43),_xlfn.XLOOKUP($F$2,Normalized_Output!$A$3:$V$3,Normalized_Output!$A$4:$V$43)),0)</f>
        <v>0</v>
      </c>
      <c r="G5" s="22">
        <f>IFERROR(CORREL(_xlfn.XLOOKUP(A5,Normalized_Input!$A$3:$V$3,Normalized_Input!$A$4:$V$43),_xlfn.XLOOKUP($G$2,Normalized_Output!$A$3:$V$3,Normalized_Output!$A$4:$V$43)),0)</f>
        <v>0</v>
      </c>
      <c r="H5" s="22">
        <f>IFERROR(CORREL(_xlfn.XLOOKUP(A5,Normalized_Input!$A$3:$V$3,Normalized_Input!$A$4:$V$43),_xlfn.XLOOKUP($H$2,Normalized_Output!$A$3:$V$3,Normalized_Output!$A$4:$V$43)),0)</f>
        <v>0</v>
      </c>
      <c r="I5" s="22">
        <f>IFERROR(CORREL(_xlfn.XLOOKUP(A5,Normalized_Input!$A$3:$V$3,Normalized_Input!$A$4:$V$43),_xlfn.XLOOKUP($I$2,Normalized_Output!$A$3:$V$3,Normalized_Output!$A$4:$V$43)),0)</f>
        <v>0</v>
      </c>
      <c r="J5" s="22">
        <f>IFERROR(CORREL(_xlfn.XLOOKUP(A5,Normalized_Input!$A$3:$V$3,Normalized_Input!$A$4:$V$43),_xlfn.XLOOKUP($J$2,Normalized_Output!$A$3:$V$3,Normalized_Output!$A$4:$V$43)),0)</f>
        <v>0</v>
      </c>
      <c r="K5" s="22">
        <f>IFERROR(CORREL(_xlfn.XLOOKUP(A5,Normalized_Input!$A$3:$V$3,Normalized_Input!$A$4:$V$43),_xlfn.XLOOKUP($K$2,Normalized_Output!$A$3:$V$3,Normalized_Output!$A$4:$V$43)),0)</f>
        <v>0</v>
      </c>
      <c r="L5" s="22">
        <f>IFERROR(CORREL(_xlfn.XLOOKUP(A5,Normalized_Input!$A$3:$V$3,Normalized_Input!$A$4:$V$43),_xlfn.XLOOKUP($L$2,Normalized_Output!$A$3:$V$3,Normalized_Output!$A$4:$V$43)),0)</f>
        <v>0</v>
      </c>
      <c r="M5" s="22">
        <f>IFERROR(CORREL(_xlfn.XLOOKUP(A5,Normalized_Input!$A$3:$V$3,Normalized_Input!$A$4:$V$43),_xlfn.XLOOKUP($M$2,Normalized_Output!$A$3:$V$3,Normalized_Output!$A$4:$V$43)),0)</f>
        <v>0</v>
      </c>
      <c r="N5" s="22">
        <f>IFERROR(CORREL(_xlfn.XLOOKUP(A5,Normalized_Input!$A$3:$V$3,Normalized_Input!$A$4:$V$43),_xlfn.XLOOKUP($N$2,Normalized_Output!$A$3:$V$3,Normalized_Output!$A$4:$V$43)),0)</f>
        <v>0</v>
      </c>
      <c r="O5" s="22">
        <f>IFERROR(CORREL(_xlfn.XLOOKUP(A5,Normalized_Input!$A$3:$V$3,Normalized_Input!$A$4:$V$43),_xlfn.XLOOKUP($O$2,Normalized_Output!$A$3:$V$3,Normalized_Output!$A$4:$V$43)),0)</f>
        <v>0</v>
      </c>
      <c r="P5" s="22">
        <f>IFERROR(CORREL(_xlfn.XLOOKUP(A5,Normalized_Input!$A$3:$V$3,Normalized_Input!$A$4:$V$43),_xlfn.XLOOKUP($P$2,Normalized_Output!$A$3:$V$3,Normalized_Output!$A$4:$V$43)),0)</f>
        <v>0</v>
      </c>
      <c r="Q5" s="22">
        <f>IFERROR(CORREL(_xlfn.XLOOKUP(A5,Normalized_Input!$A$3:$V$3,Normalized_Input!$A$4:$V$43),_xlfn.XLOOKUP($Q$2,Normalized_Output!$A$3:$V$3,Normalized_Output!$A$4:$V$43)),0)</f>
        <v>0</v>
      </c>
      <c r="R5" s="22">
        <f>IFERROR(CORREL(_xlfn.XLOOKUP(A5,Normalized_Input!$A$3:$V$3,Normalized_Input!$A$4:$V$43),_xlfn.XLOOKUP($R$2,Normalized_Output!$A$3:$V$3,Normalized_Output!$A$4:$V$43)),0)</f>
        <v>0</v>
      </c>
      <c r="S5" s="22">
        <f>IFERROR(CORREL(_xlfn.XLOOKUP(A5,Normalized_Input!$A$3:$V$3,Normalized_Input!$A$4:$V$43),_xlfn.XLOOKUP($S$2,Normalized_Output!$A$3:$V$3,Normalized_Output!$A$4:$V$43)),0)</f>
        <v>0</v>
      </c>
      <c r="T5" s="22">
        <f>IFERROR(CORREL(_xlfn.XLOOKUP(A5,Normalized_Input!$A$3:$V$3,Normalized_Input!$A$4:$V$43),_xlfn.XLOOKUP($T$2,Normalized_Output!$A$3:$V$3,Normalized_Output!$A$4:$V$43)),0)</f>
        <v>0</v>
      </c>
      <c r="U5" s="22">
        <f>IFERROR(CORREL(_xlfn.XLOOKUP(A5,Normalized_Input!$A$3:$V$3,Normalized_Input!$A$4:$V$43),_xlfn.XLOOKUP($U$2,Normalized_Output!$A$3:$V$3,Normalized_Output!$A$4:$V$43)),0)</f>
        <v>0</v>
      </c>
      <c r="V5">
        <f>IFERROR(CORREL(_xlfn.XLOOKUP(A5,Normalized_Input!$A$3:$V$3,Normalized_Input!$A$4:$V$43),_xlfn.XLOOKUP($V$2,Normalized_Output!$A$3:$V$3,Normalized_Output!$A$4:$V$43)),0)</f>
        <v>0</v>
      </c>
    </row>
    <row r="6" spans="1:22" ht="16.2" thickBot="1" x14ac:dyDescent="0.35">
      <c r="A6" s="151"/>
      <c r="B6" s="22">
        <f>IFERROR(CORREL(_xlfn.XLOOKUP(A6,Normalized_Input!$A$3:$V$3,Normalized_Input!$A$4:$V$43),_xlfn.XLOOKUP($B$2,Normalized_Output!$A$3:$V$3,Normalized_Output!$A$4:$V$43)),0)</f>
        <v>0</v>
      </c>
      <c r="C6" s="22">
        <f>IFERROR(CORREL(_xlfn.XLOOKUP(A6,Normalized_Input!$A$3:$V$3,Normalized_Input!$A$4:$V$43),_xlfn.XLOOKUP($C$2,Normalized_Output!$A$3:$V$3,Normalized_Output!$A$4:$V$43)),0)</f>
        <v>0</v>
      </c>
      <c r="D6" s="22">
        <f>IFERROR(CORREL(_xlfn.XLOOKUP(A6,Normalized_Input!$A$3:$V$3,Normalized_Input!$A$4:$V$43),_xlfn.XLOOKUP($D$2,Normalized_Output!$A$3:$V$3,Normalized_Output!$A$4:$V$43)),0)</f>
        <v>0</v>
      </c>
      <c r="E6" s="22">
        <f>IFERROR(CORREL(_xlfn.XLOOKUP(A6,Normalized_Input!$A$3:$V$3,Normalized_Input!$A$4:$V$43),_xlfn.XLOOKUP($E$2,Normalized_Output!$A$3:$V$3,Normalized_Output!$A$4:$V$43)),0)</f>
        <v>0</v>
      </c>
      <c r="F6" s="22">
        <f>IFERROR(CORREL(_xlfn.XLOOKUP(A6,Normalized_Input!$A$3:$V$3,Normalized_Input!$A$4:$V$43),_xlfn.XLOOKUP($F$2,Normalized_Output!$A$3:$V$3,Normalized_Output!$A$4:$V$43)),0)</f>
        <v>0</v>
      </c>
      <c r="G6" s="22">
        <f>IFERROR(CORREL(_xlfn.XLOOKUP(A6,Normalized_Input!$A$3:$V$3,Normalized_Input!$A$4:$V$43),_xlfn.XLOOKUP($G$2,Normalized_Output!$A$3:$V$3,Normalized_Output!$A$4:$V$43)),0)</f>
        <v>0</v>
      </c>
      <c r="H6" s="22">
        <f>IFERROR(CORREL(_xlfn.XLOOKUP(A6,Normalized_Input!$A$3:$V$3,Normalized_Input!$A$4:$V$43),_xlfn.XLOOKUP($H$2,Normalized_Output!$A$3:$V$3,Normalized_Output!$A$4:$V$43)),0)</f>
        <v>0</v>
      </c>
      <c r="I6" s="22">
        <f>IFERROR(CORREL(_xlfn.XLOOKUP(A6,Normalized_Input!$A$3:$V$3,Normalized_Input!$A$4:$V$43),_xlfn.XLOOKUP($I$2,Normalized_Output!$A$3:$V$3,Normalized_Output!$A$4:$V$43)),0)</f>
        <v>0</v>
      </c>
      <c r="J6" s="22">
        <f>IFERROR(CORREL(_xlfn.XLOOKUP(A6,Normalized_Input!$A$3:$V$3,Normalized_Input!$A$4:$V$43),_xlfn.XLOOKUP($J$2,Normalized_Output!$A$3:$V$3,Normalized_Output!$A$4:$V$43)),0)</f>
        <v>0</v>
      </c>
      <c r="K6" s="22">
        <f>IFERROR(CORREL(_xlfn.XLOOKUP(A6,Normalized_Input!$A$3:$V$3,Normalized_Input!$A$4:$V$43),_xlfn.XLOOKUP($K$2,Normalized_Output!$A$3:$V$3,Normalized_Output!$A$4:$V$43)),0)</f>
        <v>0</v>
      </c>
      <c r="L6" s="22">
        <f>IFERROR(CORREL(_xlfn.XLOOKUP(A6,Normalized_Input!$A$3:$V$3,Normalized_Input!$A$4:$V$43),_xlfn.XLOOKUP($L$2,Normalized_Output!$A$3:$V$3,Normalized_Output!$A$4:$V$43)),0)</f>
        <v>0</v>
      </c>
      <c r="M6" s="22">
        <f>IFERROR(CORREL(_xlfn.XLOOKUP(A6,Normalized_Input!$A$3:$V$3,Normalized_Input!$A$4:$V$43),_xlfn.XLOOKUP($M$2,Normalized_Output!$A$3:$V$3,Normalized_Output!$A$4:$V$43)),0)</f>
        <v>0</v>
      </c>
      <c r="N6" s="22">
        <f>IFERROR(CORREL(_xlfn.XLOOKUP(A6,Normalized_Input!$A$3:$V$3,Normalized_Input!$A$4:$V$43),_xlfn.XLOOKUP($N$2,Normalized_Output!$A$3:$V$3,Normalized_Output!$A$4:$V$43)),0)</f>
        <v>0</v>
      </c>
      <c r="O6" s="22">
        <f>IFERROR(CORREL(_xlfn.XLOOKUP(A6,Normalized_Input!$A$3:$V$3,Normalized_Input!$A$4:$V$43),_xlfn.XLOOKUP($O$2,Normalized_Output!$A$3:$V$3,Normalized_Output!$A$4:$V$43)),0)</f>
        <v>0</v>
      </c>
      <c r="P6" s="22">
        <f>IFERROR(CORREL(_xlfn.XLOOKUP(A6,Normalized_Input!$A$3:$V$3,Normalized_Input!$A$4:$V$43),_xlfn.XLOOKUP($P$2,Normalized_Output!$A$3:$V$3,Normalized_Output!$A$4:$V$43)),0)</f>
        <v>0</v>
      </c>
      <c r="Q6" s="22">
        <f>IFERROR(CORREL(_xlfn.XLOOKUP(A6,Normalized_Input!$A$3:$V$3,Normalized_Input!$A$4:$V$43),_xlfn.XLOOKUP($Q$2,Normalized_Output!$A$3:$V$3,Normalized_Output!$A$4:$V$43)),0)</f>
        <v>0</v>
      </c>
      <c r="R6" s="22">
        <f>IFERROR(CORREL(_xlfn.XLOOKUP(A6,Normalized_Input!$A$3:$V$3,Normalized_Input!$A$4:$V$43),_xlfn.XLOOKUP($R$2,Normalized_Output!$A$3:$V$3,Normalized_Output!$A$4:$V$43)),0)</f>
        <v>0</v>
      </c>
      <c r="S6" s="22">
        <f>IFERROR(CORREL(_xlfn.XLOOKUP(A6,Normalized_Input!$A$3:$V$3,Normalized_Input!$A$4:$V$43),_xlfn.XLOOKUP($S$2,Normalized_Output!$A$3:$V$3,Normalized_Output!$A$4:$V$43)),0)</f>
        <v>0</v>
      </c>
      <c r="T6" s="22">
        <f>IFERROR(CORREL(_xlfn.XLOOKUP(A6,Normalized_Input!$A$3:$V$3,Normalized_Input!$A$4:$V$43),_xlfn.XLOOKUP($T$2,Normalized_Output!$A$3:$V$3,Normalized_Output!$A$4:$V$43)),0)</f>
        <v>0</v>
      </c>
      <c r="U6" s="22">
        <f>IFERROR(CORREL(_xlfn.XLOOKUP(A6,Normalized_Input!$A$3:$V$3,Normalized_Input!$A$4:$V$43),_xlfn.XLOOKUP($U$2,Normalized_Output!$A$3:$V$3,Normalized_Output!$A$4:$V$43)),0)</f>
        <v>0</v>
      </c>
      <c r="V6">
        <f>IFERROR(CORREL(_xlfn.XLOOKUP(A6,Normalized_Input!$A$3:$V$3,Normalized_Input!$A$4:$V$43),_xlfn.XLOOKUP($V$2,Normalized_Output!$A$3:$V$3,Normalized_Output!$A$4:$V$43)),0)</f>
        <v>0</v>
      </c>
    </row>
    <row r="7" spans="1:22" ht="16.2" thickBot="1" x14ac:dyDescent="0.35">
      <c r="A7" s="151"/>
      <c r="B7" s="22">
        <f>IFERROR(CORREL(_xlfn.XLOOKUP(A7,Normalized_Input!$A$3:$V$3,Normalized_Input!$A$4:$V$43),_xlfn.XLOOKUP($B$2,Normalized_Output!$A$3:$V$3,Normalized_Output!$A$4:$V$43)),0)</f>
        <v>0</v>
      </c>
      <c r="C7" s="22">
        <f>IFERROR(CORREL(_xlfn.XLOOKUP(A7,Normalized_Input!$A$3:$V$3,Normalized_Input!$A$4:$V$43),_xlfn.XLOOKUP($C$2,Normalized_Output!$A$3:$V$3,Normalized_Output!$A$4:$V$43)),0)</f>
        <v>0</v>
      </c>
      <c r="D7" s="22">
        <f>IFERROR(CORREL(_xlfn.XLOOKUP(A7,Normalized_Input!$A$3:$V$3,Normalized_Input!$A$4:$V$43),_xlfn.XLOOKUP($D$2,Normalized_Output!$A$3:$V$3,Normalized_Output!$A$4:$V$43)),0)</f>
        <v>0</v>
      </c>
      <c r="E7" s="22">
        <f>IFERROR(CORREL(_xlfn.XLOOKUP(A7,Normalized_Input!$A$3:$V$3,Normalized_Input!$A$4:$V$43),_xlfn.XLOOKUP($E$2,Normalized_Output!$A$3:$V$3,Normalized_Output!$A$4:$V$43)),0)</f>
        <v>0</v>
      </c>
      <c r="F7" s="22">
        <f>IFERROR(CORREL(_xlfn.XLOOKUP(A7,Normalized_Input!$A$3:$V$3,Normalized_Input!$A$4:$V$43),_xlfn.XLOOKUP($F$2,Normalized_Output!$A$3:$V$3,Normalized_Output!$A$4:$V$43)),0)</f>
        <v>0</v>
      </c>
      <c r="G7" s="22">
        <f>IFERROR(CORREL(_xlfn.XLOOKUP(A7,Normalized_Input!$A$3:$V$3,Normalized_Input!$A$4:$V$43),_xlfn.XLOOKUP($G$2,Normalized_Output!$A$3:$V$3,Normalized_Output!$A$4:$V$43)),0)</f>
        <v>0</v>
      </c>
      <c r="H7" s="22">
        <f>IFERROR(CORREL(_xlfn.XLOOKUP(A7,Normalized_Input!$A$3:$V$3,Normalized_Input!$A$4:$V$43),_xlfn.XLOOKUP($H$2,Normalized_Output!$A$3:$V$3,Normalized_Output!$A$4:$V$43)),0)</f>
        <v>0</v>
      </c>
      <c r="I7" s="22">
        <f>IFERROR(CORREL(_xlfn.XLOOKUP(A7,Normalized_Input!$A$3:$V$3,Normalized_Input!$A$4:$V$43),_xlfn.XLOOKUP($I$2,Normalized_Output!$A$3:$V$3,Normalized_Output!$A$4:$V$43)),0)</f>
        <v>0</v>
      </c>
      <c r="J7" s="22">
        <f>IFERROR(CORREL(_xlfn.XLOOKUP(A7,Normalized_Input!$A$3:$V$3,Normalized_Input!$A$4:$V$43),_xlfn.XLOOKUP($J$2,Normalized_Output!$A$3:$V$3,Normalized_Output!$A$4:$V$43)),0)</f>
        <v>0</v>
      </c>
      <c r="K7" s="22">
        <f>IFERROR(CORREL(_xlfn.XLOOKUP(A7,Normalized_Input!$A$3:$V$3,Normalized_Input!$A$4:$V$43),_xlfn.XLOOKUP($K$2,Normalized_Output!$A$3:$V$3,Normalized_Output!$A$4:$V$43)),0)</f>
        <v>0</v>
      </c>
      <c r="L7" s="22">
        <f>IFERROR(CORREL(_xlfn.XLOOKUP(A7,Normalized_Input!$A$3:$V$3,Normalized_Input!$A$4:$V$43),_xlfn.XLOOKUP($L$2,Normalized_Output!$A$3:$V$3,Normalized_Output!$A$4:$V$43)),0)</f>
        <v>0</v>
      </c>
      <c r="M7" s="22">
        <f>IFERROR(CORREL(_xlfn.XLOOKUP(A7,Normalized_Input!$A$3:$V$3,Normalized_Input!$A$4:$V$43),_xlfn.XLOOKUP($M$2,Normalized_Output!$A$3:$V$3,Normalized_Output!$A$4:$V$43)),0)</f>
        <v>0</v>
      </c>
      <c r="N7" s="22">
        <f>IFERROR(CORREL(_xlfn.XLOOKUP(A7,Normalized_Input!$A$3:$V$3,Normalized_Input!$A$4:$V$43),_xlfn.XLOOKUP($N$2,Normalized_Output!$A$3:$V$3,Normalized_Output!$A$4:$V$43)),0)</f>
        <v>0</v>
      </c>
      <c r="O7" s="22">
        <f>IFERROR(CORREL(_xlfn.XLOOKUP(A7,Normalized_Input!$A$3:$V$3,Normalized_Input!$A$4:$V$43),_xlfn.XLOOKUP($O$2,Normalized_Output!$A$3:$V$3,Normalized_Output!$A$4:$V$43)),0)</f>
        <v>0</v>
      </c>
      <c r="P7" s="22">
        <f>IFERROR(CORREL(_xlfn.XLOOKUP(A7,Normalized_Input!$A$3:$V$3,Normalized_Input!$A$4:$V$43),_xlfn.XLOOKUP($P$2,Normalized_Output!$A$3:$V$3,Normalized_Output!$A$4:$V$43)),0)</f>
        <v>0</v>
      </c>
      <c r="Q7" s="22">
        <f>IFERROR(CORREL(_xlfn.XLOOKUP(A7,Normalized_Input!$A$3:$V$3,Normalized_Input!$A$4:$V$43),_xlfn.XLOOKUP($Q$2,Normalized_Output!$A$3:$V$3,Normalized_Output!$A$4:$V$43)),0)</f>
        <v>0</v>
      </c>
      <c r="R7" s="22">
        <f>IFERROR(CORREL(_xlfn.XLOOKUP(A7,Normalized_Input!$A$3:$V$3,Normalized_Input!$A$4:$V$43),_xlfn.XLOOKUP($R$2,Normalized_Output!$A$3:$V$3,Normalized_Output!$A$4:$V$43)),0)</f>
        <v>0</v>
      </c>
      <c r="S7" s="22">
        <f>IFERROR(CORREL(_xlfn.XLOOKUP(A7,Normalized_Input!$A$3:$V$3,Normalized_Input!$A$4:$V$43),_xlfn.XLOOKUP($S$2,Normalized_Output!$A$3:$V$3,Normalized_Output!$A$4:$V$43)),0)</f>
        <v>0</v>
      </c>
      <c r="T7" s="22">
        <f>IFERROR(CORREL(_xlfn.XLOOKUP(A7,Normalized_Input!$A$3:$V$3,Normalized_Input!$A$4:$V$43),_xlfn.XLOOKUP($T$2,Normalized_Output!$A$3:$V$3,Normalized_Output!$A$4:$V$43)),0)</f>
        <v>0</v>
      </c>
      <c r="U7" s="22">
        <f>IFERROR(CORREL(_xlfn.XLOOKUP(A7,Normalized_Input!$A$3:$V$3,Normalized_Input!$A$4:$V$43),_xlfn.XLOOKUP($U$2,Normalized_Output!$A$3:$V$3,Normalized_Output!$A$4:$V$43)),0)</f>
        <v>0</v>
      </c>
      <c r="V7">
        <f>IFERROR(CORREL(_xlfn.XLOOKUP(A7,Normalized_Input!$A$3:$V$3,Normalized_Input!$A$4:$V$43),_xlfn.XLOOKUP($V$2,Normalized_Output!$A$3:$V$3,Normalized_Output!$A$4:$V$43)),0)</f>
        <v>0</v>
      </c>
    </row>
    <row r="8" spans="1:22" ht="16.2" thickBot="1" x14ac:dyDescent="0.35">
      <c r="A8" s="151"/>
      <c r="B8" s="22">
        <f>IFERROR(CORREL(_xlfn.XLOOKUP(A8,Normalized_Input!$A$3:$V$3,Normalized_Input!$A$4:$V$43),_xlfn.XLOOKUP($B$2,Normalized_Output!$A$3:$V$3,Normalized_Output!$A$4:$V$43)),0)</f>
        <v>0</v>
      </c>
      <c r="C8" s="22">
        <f>IFERROR(CORREL(_xlfn.XLOOKUP(A8,Normalized_Input!$A$3:$V$3,Normalized_Input!$A$4:$V$43),_xlfn.XLOOKUP($C$2,Normalized_Output!$A$3:$V$3,Normalized_Output!$A$4:$V$43)),0)</f>
        <v>0</v>
      </c>
      <c r="D8" s="22">
        <f>IFERROR(CORREL(_xlfn.XLOOKUP(A8,Normalized_Input!$A$3:$V$3,Normalized_Input!$A$4:$V$43),_xlfn.XLOOKUP($D$2,Normalized_Output!$A$3:$V$3,Normalized_Output!$A$4:$V$43)),0)</f>
        <v>0</v>
      </c>
      <c r="E8" s="22">
        <f>IFERROR(CORREL(_xlfn.XLOOKUP(A8,Normalized_Input!$A$3:$V$3,Normalized_Input!$A$4:$V$43),_xlfn.XLOOKUP($E$2,Normalized_Output!$A$3:$V$3,Normalized_Output!$A$4:$V$43)),0)</f>
        <v>0</v>
      </c>
      <c r="F8" s="22">
        <f>IFERROR(CORREL(_xlfn.XLOOKUP(A8,Normalized_Input!$A$3:$V$3,Normalized_Input!$A$4:$V$43),_xlfn.XLOOKUP($F$2,Normalized_Output!$A$3:$V$3,Normalized_Output!$A$4:$V$43)),0)</f>
        <v>0</v>
      </c>
      <c r="G8" s="22">
        <f>IFERROR(CORREL(_xlfn.XLOOKUP(A8,Normalized_Input!$A$3:$V$3,Normalized_Input!$A$4:$V$43),_xlfn.XLOOKUP($G$2,Normalized_Output!$A$3:$V$3,Normalized_Output!$A$4:$V$43)),0)</f>
        <v>0</v>
      </c>
      <c r="H8" s="22">
        <f>IFERROR(CORREL(_xlfn.XLOOKUP(A8,Normalized_Input!$A$3:$V$3,Normalized_Input!$A$4:$V$43),_xlfn.XLOOKUP($H$2,Normalized_Output!$A$3:$V$3,Normalized_Output!$A$4:$V$43)),0)</f>
        <v>0</v>
      </c>
      <c r="I8" s="22">
        <f>IFERROR(CORREL(_xlfn.XLOOKUP(A8,Normalized_Input!$A$3:$V$3,Normalized_Input!$A$4:$V$43),_xlfn.XLOOKUP($I$2,Normalized_Output!$A$3:$V$3,Normalized_Output!$A$4:$V$43)),0)</f>
        <v>0</v>
      </c>
      <c r="J8" s="22">
        <f>IFERROR(CORREL(_xlfn.XLOOKUP(A8,Normalized_Input!$A$3:$V$3,Normalized_Input!$A$4:$V$43),_xlfn.XLOOKUP($J$2,Normalized_Output!$A$3:$V$3,Normalized_Output!$A$4:$V$43)),0)</f>
        <v>0</v>
      </c>
      <c r="K8" s="22">
        <f>IFERROR(CORREL(_xlfn.XLOOKUP(A8,Normalized_Input!$A$3:$V$3,Normalized_Input!$A$4:$V$43),_xlfn.XLOOKUP($K$2,Normalized_Output!$A$3:$V$3,Normalized_Output!$A$4:$V$43)),0)</f>
        <v>0</v>
      </c>
      <c r="L8" s="22">
        <f>IFERROR(CORREL(_xlfn.XLOOKUP(A8,Normalized_Input!$A$3:$V$3,Normalized_Input!$A$4:$V$43),_xlfn.XLOOKUP($L$2,Normalized_Output!$A$3:$V$3,Normalized_Output!$A$4:$V$43)),0)</f>
        <v>0</v>
      </c>
      <c r="M8" s="22">
        <f>IFERROR(CORREL(_xlfn.XLOOKUP(A8,Normalized_Input!$A$3:$V$3,Normalized_Input!$A$4:$V$43),_xlfn.XLOOKUP($M$2,Normalized_Output!$A$3:$V$3,Normalized_Output!$A$4:$V$43)),0)</f>
        <v>0</v>
      </c>
      <c r="N8" s="22">
        <f>IFERROR(CORREL(_xlfn.XLOOKUP(A8,Normalized_Input!$A$3:$V$3,Normalized_Input!$A$4:$V$43),_xlfn.XLOOKUP($N$2,Normalized_Output!$A$3:$V$3,Normalized_Output!$A$4:$V$43)),0)</f>
        <v>0</v>
      </c>
      <c r="O8" s="22">
        <f>IFERROR(CORREL(_xlfn.XLOOKUP(A8,Normalized_Input!$A$3:$V$3,Normalized_Input!$A$4:$V$43),_xlfn.XLOOKUP($O$2,Normalized_Output!$A$3:$V$3,Normalized_Output!$A$4:$V$43)),0)</f>
        <v>0</v>
      </c>
      <c r="P8" s="22">
        <f>IFERROR(CORREL(_xlfn.XLOOKUP(A8,Normalized_Input!$A$3:$V$3,Normalized_Input!$A$4:$V$43),_xlfn.XLOOKUP($P$2,Normalized_Output!$A$3:$V$3,Normalized_Output!$A$4:$V$43)),0)</f>
        <v>0</v>
      </c>
      <c r="Q8" s="22">
        <f>IFERROR(CORREL(_xlfn.XLOOKUP(A8,Normalized_Input!$A$3:$V$3,Normalized_Input!$A$4:$V$43),_xlfn.XLOOKUP($Q$2,Normalized_Output!$A$3:$V$3,Normalized_Output!$A$4:$V$43)),0)</f>
        <v>0</v>
      </c>
      <c r="R8" s="22">
        <f>IFERROR(CORREL(_xlfn.XLOOKUP(A8,Normalized_Input!$A$3:$V$3,Normalized_Input!$A$4:$V$43),_xlfn.XLOOKUP($R$2,Normalized_Output!$A$3:$V$3,Normalized_Output!$A$4:$V$43)),0)</f>
        <v>0</v>
      </c>
      <c r="S8" s="22">
        <f>IFERROR(CORREL(_xlfn.XLOOKUP(A8,Normalized_Input!$A$3:$V$3,Normalized_Input!$A$4:$V$43),_xlfn.XLOOKUP($S$2,Normalized_Output!$A$3:$V$3,Normalized_Output!$A$4:$V$43)),0)</f>
        <v>0</v>
      </c>
      <c r="T8" s="22">
        <f>IFERROR(CORREL(_xlfn.XLOOKUP(A8,Normalized_Input!$A$3:$V$3,Normalized_Input!$A$4:$V$43),_xlfn.XLOOKUP($T$2,Normalized_Output!$A$3:$V$3,Normalized_Output!$A$4:$V$43)),0)</f>
        <v>0</v>
      </c>
      <c r="U8" s="22">
        <f>IFERROR(CORREL(_xlfn.XLOOKUP(A8,Normalized_Input!$A$3:$V$3,Normalized_Input!$A$4:$V$43),_xlfn.XLOOKUP($U$2,Normalized_Output!$A$3:$V$3,Normalized_Output!$A$4:$V$43)),0)</f>
        <v>0</v>
      </c>
      <c r="V8">
        <f>IFERROR(CORREL(_xlfn.XLOOKUP(A8,Normalized_Input!$A$3:$V$3,Normalized_Input!$A$4:$V$43),_xlfn.XLOOKUP($V$2,Normalized_Output!$A$3:$V$3,Normalized_Output!$A$4:$V$43)),0)</f>
        <v>0</v>
      </c>
    </row>
    <row r="9" spans="1:22" ht="16.2" thickBot="1" x14ac:dyDescent="0.35">
      <c r="A9" s="151"/>
      <c r="B9" s="22">
        <f>IFERROR(CORREL(_xlfn.XLOOKUP(A9,Normalized_Input!$A$3:$V$3,Normalized_Input!$A$4:$V$43),_xlfn.XLOOKUP($B$2,Normalized_Output!$A$3:$V$3,Normalized_Output!$A$4:$V$43)),0)</f>
        <v>0</v>
      </c>
      <c r="C9" s="22">
        <f>IFERROR(CORREL(_xlfn.XLOOKUP(A9,Normalized_Input!$A$3:$V$3,Normalized_Input!$A$4:$V$43),_xlfn.XLOOKUP($C$2,Normalized_Output!$A$3:$V$3,Normalized_Output!$A$4:$V$43)),0)</f>
        <v>0</v>
      </c>
      <c r="D9" s="22">
        <f>IFERROR(CORREL(_xlfn.XLOOKUP(A9,Normalized_Input!$A$3:$V$3,Normalized_Input!$A$4:$V$43),_xlfn.XLOOKUP($D$2,Normalized_Output!$A$3:$V$3,Normalized_Output!$A$4:$V$43)),0)</f>
        <v>0</v>
      </c>
      <c r="E9" s="22">
        <f>IFERROR(CORREL(_xlfn.XLOOKUP(A9,Normalized_Input!$A$3:$V$3,Normalized_Input!$A$4:$V$43),_xlfn.XLOOKUP($E$2,Normalized_Output!$A$3:$V$3,Normalized_Output!$A$4:$V$43)),0)</f>
        <v>0</v>
      </c>
      <c r="F9" s="22">
        <f>IFERROR(CORREL(_xlfn.XLOOKUP(A9,Normalized_Input!$A$3:$V$3,Normalized_Input!$A$4:$V$43),_xlfn.XLOOKUP($F$2,Normalized_Output!$A$3:$V$3,Normalized_Output!$A$4:$V$43)),0)</f>
        <v>0</v>
      </c>
      <c r="G9" s="22">
        <f>IFERROR(CORREL(_xlfn.XLOOKUP(A9,Normalized_Input!$A$3:$V$3,Normalized_Input!$A$4:$V$43),_xlfn.XLOOKUP($G$2,Normalized_Output!$A$3:$V$3,Normalized_Output!$A$4:$V$43)),0)</f>
        <v>0</v>
      </c>
      <c r="H9" s="22">
        <f>IFERROR(CORREL(_xlfn.XLOOKUP(A9,Normalized_Input!$A$3:$V$3,Normalized_Input!$A$4:$V$43),_xlfn.XLOOKUP($H$2,Normalized_Output!$A$3:$V$3,Normalized_Output!$A$4:$V$43)),0)</f>
        <v>0</v>
      </c>
      <c r="I9" s="22">
        <f>IFERROR(CORREL(_xlfn.XLOOKUP(A9,Normalized_Input!$A$3:$V$3,Normalized_Input!$A$4:$V$43),_xlfn.XLOOKUP($I$2,Normalized_Output!$A$3:$V$3,Normalized_Output!$A$4:$V$43)),0)</f>
        <v>0</v>
      </c>
      <c r="J9" s="22">
        <f>IFERROR(CORREL(_xlfn.XLOOKUP(A9,Normalized_Input!$A$3:$V$3,Normalized_Input!$A$4:$V$43),_xlfn.XLOOKUP($J$2,Normalized_Output!$A$3:$V$3,Normalized_Output!$A$4:$V$43)),0)</f>
        <v>0</v>
      </c>
      <c r="K9" s="22">
        <f>IFERROR(CORREL(_xlfn.XLOOKUP(A9,Normalized_Input!$A$3:$V$3,Normalized_Input!$A$4:$V$43),_xlfn.XLOOKUP($K$2,Normalized_Output!$A$3:$V$3,Normalized_Output!$A$4:$V$43)),0)</f>
        <v>0</v>
      </c>
      <c r="L9" s="22">
        <f>IFERROR(CORREL(_xlfn.XLOOKUP(A9,Normalized_Input!$A$3:$V$3,Normalized_Input!$A$4:$V$43),_xlfn.XLOOKUP($L$2,Normalized_Output!$A$3:$V$3,Normalized_Output!$A$4:$V$43)),0)</f>
        <v>0</v>
      </c>
      <c r="M9" s="22">
        <f>IFERROR(CORREL(_xlfn.XLOOKUP(A9,Normalized_Input!$A$3:$V$3,Normalized_Input!$A$4:$V$43),_xlfn.XLOOKUP($M$2,Normalized_Output!$A$3:$V$3,Normalized_Output!$A$4:$V$43)),0)</f>
        <v>0</v>
      </c>
      <c r="N9" s="22">
        <f>IFERROR(CORREL(_xlfn.XLOOKUP(A9,Normalized_Input!$A$3:$V$3,Normalized_Input!$A$4:$V$43),_xlfn.XLOOKUP($N$2,Normalized_Output!$A$3:$V$3,Normalized_Output!$A$4:$V$43)),0)</f>
        <v>0</v>
      </c>
      <c r="O9" s="22">
        <f>IFERROR(CORREL(_xlfn.XLOOKUP(A9,Normalized_Input!$A$3:$V$3,Normalized_Input!$A$4:$V$43),_xlfn.XLOOKUP($O$2,Normalized_Output!$A$3:$V$3,Normalized_Output!$A$4:$V$43)),0)</f>
        <v>0</v>
      </c>
      <c r="P9" s="22">
        <f>IFERROR(CORREL(_xlfn.XLOOKUP(A9,Normalized_Input!$A$3:$V$3,Normalized_Input!$A$4:$V$43),_xlfn.XLOOKUP($P$2,Normalized_Output!$A$3:$V$3,Normalized_Output!$A$4:$V$43)),0)</f>
        <v>0</v>
      </c>
      <c r="Q9" s="22">
        <f>IFERROR(CORREL(_xlfn.XLOOKUP(A9,Normalized_Input!$A$3:$V$3,Normalized_Input!$A$4:$V$43),_xlfn.XLOOKUP($Q$2,Normalized_Output!$A$3:$V$3,Normalized_Output!$A$4:$V$43)),0)</f>
        <v>0</v>
      </c>
      <c r="R9" s="22">
        <f>IFERROR(CORREL(_xlfn.XLOOKUP(A9,Normalized_Input!$A$3:$V$3,Normalized_Input!$A$4:$V$43),_xlfn.XLOOKUP($R$2,Normalized_Output!$A$3:$V$3,Normalized_Output!$A$4:$V$43)),0)</f>
        <v>0</v>
      </c>
      <c r="S9" s="22">
        <f>IFERROR(CORREL(_xlfn.XLOOKUP(A9,Normalized_Input!$A$3:$V$3,Normalized_Input!$A$4:$V$43),_xlfn.XLOOKUP($S$2,Normalized_Output!$A$3:$V$3,Normalized_Output!$A$4:$V$43)),0)</f>
        <v>0</v>
      </c>
      <c r="T9" s="22">
        <f>IFERROR(CORREL(_xlfn.XLOOKUP(A9,Normalized_Input!$A$3:$V$3,Normalized_Input!$A$4:$V$43),_xlfn.XLOOKUP($T$2,Normalized_Output!$A$3:$V$3,Normalized_Output!$A$4:$V$43)),0)</f>
        <v>0</v>
      </c>
      <c r="U9" s="22">
        <f>IFERROR(CORREL(_xlfn.XLOOKUP(A9,Normalized_Input!$A$3:$V$3,Normalized_Input!$A$4:$V$43),_xlfn.XLOOKUP($U$2,Normalized_Output!$A$3:$V$3,Normalized_Output!$A$4:$V$43)),0)</f>
        <v>0</v>
      </c>
      <c r="V9">
        <f>IFERROR(CORREL(_xlfn.XLOOKUP(A9,Normalized_Input!$A$3:$V$3,Normalized_Input!$A$4:$V$43),_xlfn.XLOOKUP($V$2,Normalized_Output!$A$3:$V$3,Normalized_Output!$A$4:$V$43)),0)</f>
        <v>0</v>
      </c>
    </row>
    <row r="10" spans="1:22" ht="16.2" thickBot="1" x14ac:dyDescent="0.35">
      <c r="A10" s="151"/>
      <c r="B10" s="22">
        <f>IFERROR(CORREL(_xlfn.XLOOKUP(A10,Normalized_Input!$A$3:$V$3,Normalized_Input!$A$4:$V$43),_xlfn.XLOOKUP($B$2,Normalized_Output!$A$3:$V$3,Normalized_Output!$A$4:$V$43)),0)</f>
        <v>0</v>
      </c>
      <c r="C10" s="22">
        <f>IFERROR(CORREL(_xlfn.XLOOKUP(A10,Normalized_Input!$A$3:$V$3,Normalized_Input!$A$4:$V$43),_xlfn.XLOOKUP($C$2,Normalized_Output!$A$3:$V$3,Normalized_Output!$A$4:$V$43)),0)</f>
        <v>0</v>
      </c>
      <c r="D10" s="22">
        <f>IFERROR(CORREL(_xlfn.XLOOKUP(A10,Normalized_Input!$A$3:$V$3,Normalized_Input!$A$4:$V$43),_xlfn.XLOOKUP($D$2,Normalized_Output!$A$3:$V$3,Normalized_Output!$A$4:$V$43)),0)</f>
        <v>0</v>
      </c>
      <c r="E10" s="22">
        <f>IFERROR(CORREL(_xlfn.XLOOKUP(A10,Normalized_Input!$A$3:$V$3,Normalized_Input!$A$4:$V$43),_xlfn.XLOOKUP($E$2,Normalized_Output!$A$3:$V$3,Normalized_Output!$A$4:$V$43)),0)</f>
        <v>0</v>
      </c>
      <c r="F10" s="22">
        <f>IFERROR(CORREL(_xlfn.XLOOKUP(A10,Normalized_Input!$A$3:$V$3,Normalized_Input!$A$4:$V$43),_xlfn.XLOOKUP($F$2,Normalized_Output!$A$3:$V$3,Normalized_Output!$A$4:$V$43)),0)</f>
        <v>0</v>
      </c>
      <c r="G10" s="22">
        <f>IFERROR(CORREL(_xlfn.XLOOKUP(A10,Normalized_Input!$A$3:$V$3,Normalized_Input!$A$4:$V$43),_xlfn.XLOOKUP($G$2,Normalized_Output!$A$3:$V$3,Normalized_Output!$A$4:$V$43)),0)</f>
        <v>0</v>
      </c>
      <c r="H10" s="22">
        <f>IFERROR(CORREL(_xlfn.XLOOKUP(A10,Normalized_Input!$A$3:$V$3,Normalized_Input!$A$4:$V$43),_xlfn.XLOOKUP($H$2,Normalized_Output!$A$3:$V$3,Normalized_Output!$A$4:$V$43)),0)</f>
        <v>0</v>
      </c>
      <c r="I10" s="22">
        <f>IFERROR(CORREL(_xlfn.XLOOKUP(A10,Normalized_Input!$A$3:$V$3,Normalized_Input!$A$4:$V$43),_xlfn.XLOOKUP($I$2,Normalized_Output!$A$3:$V$3,Normalized_Output!$A$4:$V$43)),0)</f>
        <v>0</v>
      </c>
      <c r="J10" s="22">
        <f>IFERROR(CORREL(_xlfn.XLOOKUP(A10,Normalized_Input!$A$3:$V$3,Normalized_Input!$A$4:$V$43),_xlfn.XLOOKUP($J$2,Normalized_Output!$A$3:$V$3,Normalized_Output!$A$4:$V$43)),0)</f>
        <v>0</v>
      </c>
      <c r="K10" s="22">
        <f>IFERROR(CORREL(_xlfn.XLOOKUP(A10,Normalized_Input!$A$3:$V$3,Normalized_Input!$A$4:$V$43),_xlfn.XLOOKUP($K$2,Normalized_Output!$A$3:$V$3,Normalized_Output!$A$4:$V$43)),0)</f>
        <v>0</v>
      </c>
      <c r="L10" s="22">
        <f>IFERROR(CORREL(_xlfn.XLOOKUP(A10,Normalized_Input!$A$3:$V$3,Normalized_Input!$A$4:$V$43),_xlfn.XLOOKUP($L$2,Normalized_Output!$A$3:$V$3,Normalized_Output!$A$4:$V$43)),0)</f>
        <v>0</v>
      </c>
      <c r="M10" s="22">
        <f>IFERROR(CORREL(_xlfn.XLOOKUP(A10,Normalized_Input!$A$3:$V$3,Normalized_Input!$A$4:$V$43),_xlfn.XLOOKUP($M$2,Normalized_Output!$A$3:$V$3,Normalized_Output!$A$4:$V$43)),0)</f>
        <v>0</v>
      </c>
      <c r="N10" s="22">
        <f>IFERROR(CORREL(_xlfn.XLOOKUP(A10,Normalized_Input!$A$3:$V$3,Normalized_Input!$A$4:$V$43),_xlfn.XLOOKUP($N$2,Normalized_Output!$A$3:$V$3,Normalized_Output!$A$4:$V$43)),0)</f>
        <v>0</v>
      </c>
      <c r="O10" s="22">
        <f>IFERROR(CORREL(_xlfn.XLOOKUP(A10,Normalized_Input!$A$3:$V$3,Normalized_Input!$A$4:$V$43),_xlfn.XLOOKUP($O$2,Normalized_Output!$A$3:$V$3,Normalized_Output!$A$4:$V$43)),0)</f>
        <v>0</v>
      </c>
      <c r="P10" s="22">
        <f>IFERROR(CORREL(_xlfn.XLOOKUP(A10,Normalized_Input!$A$3:$V$3,Normalized_Input!$A$4:$V$43),_xlfn.XLOOKUP($P$2,Normalized_Output!$A$3:$V$3,Normalized_Output!$A$4:$V$43)),0)</f>
        <v>0</v>
      </c>
      <c r="Q10" s="22">
        <f>IFERROR(CORREL(_xlfn.XLOOKUP(A10,Normalized_Input!$A$3:$V$3,Normalized_Input!$A$4:$V$43),_xlfn.XLOOKUP($Q$2,Normalized_Output!$A$3:$V$3,Normalized_Output!$A$4:$V$43)),0)</f>
        <v>0</v>
      </c>
      <c r="R10" s="22">
        <f>IFERROR(CORREL(_xlfn.XLOOKUP(A10,Normalized_Input!$A$3:$V$3,Normalized_Input!$A$4:$V$43),_xlfn.XLOOKUP($R$2,Normalized_Output!$A$3:$V$3,Normalized_Output!$A$4:$V$43)),0)</f>
        <v>0</v>
      </c>
      <c r="S10" s="22">
        <f>IFERROR(CORREL(_xlfn.XLOOKUP(A10,Normalized_Input!$A$3:$V$3,Normalized_Input!$A$4:$V$43),_xlfn.XLOOKUP($S$2,Normalized_Output!$A$3:$V$3,Normalized_Output!$A$4:$V$43)),0)</f>
        <v>0</v>
      </c>
      <c r="T10" s="22">
        <f>IFERROR(CORREL(_xlfn.XLOOKUP(A10,Normalized_Input!$A$3:$V$3,Normalized_Input!$A$4:$V$43),_xlfn.XLOOKUP($T$2,Normalized_Output!$A$3:$V$3,Normalized_Output!$A$4:$V$43)),0)</f>
        <v>0</v>
      </c>
      <c r="U10" s="22">
        <f>IFERROR(CORREL(_xlfn.XLOOKUP(A10,Normalized_Input!$A$3:$V$3,Normalized_Input!$A$4:$V$43),_xlfn.XLOOKUP($U$2,Normalized_Output!$A$3:$V$3,Normalized_Output!$A$4:$V$43)),0)</f>
        <v>0</v>
      </c>
      <c r="V10">
        <f>IFERROR(CORREL(_xlfn.XLOOKUP(A10,Normalized_Input!$A$3:$V$3,Normalized_Input!$A$4:$V$43),_xlfn.XLOOKUP($V$2,Normalized_Output!$A$3:$V$3,Normalized_Output!$A$4:$V$43)),0)</f>
        <v>0</v>
      </c>
    </row>
    <row r="11" spans="1:22" ht="16.2" thickBot="1" x14ac:dyDescent="0.35">
      <c r="A11" s="151"/>
      <c r="B11" s="22">
        <f>IFERROR(CORREL(_xlfn.XLOOKUP(A11,Normalized_Input!$A$3:$V$3,Normalized_Input!$A$4:$V$43),_xlfn.XLOOKUP($B$2,Normalized_Output!$A$3:$V$3,Normalized_Output!$A$4:$V$43)),0)</f>
        <v>0</v>
      </c>
      <c r="C11" s="22">
        <f>IFERROR(CORREL(_xlfn.XLOOKUP(A11,Normalized_Input!$A$3:$V$3,Normalized_Input!$A$4:$V$43),_xlfn.XLOOKUP($C$2,Normalized_Output!$A$3:$V$3,Normalized_Output!$A$4:$V$43)),0)</f>
        <v>0</v>
      </c>
      <c r="D11" s="22">
        <f>IFERROR(CORREL(_xlfn.XLOOKUP(A11,Normalized_Input!$A$3:$V$3,Normalized_Input!$A$4:$V$43),_xlfn.XLOOKUP($D$2,Normalized_Output!$A$3:$V$3,Normalized_Output!$A$4:$V$43)),0)</f>
        <v>0</v>
      </c>
      <c r="E11" s="22">
        <f>IFERROR(CORREL(_xlfn.XLOOKUP(A11,Normalized_Input!$A$3:$V$3,Normalized_Input!$A$4:$V$43),_xlfn.XLOOKUP($E$2,Normalized_Output!$A$3:$V$3,Normalized_Output!$A$4:$V$43)),0)</f>
        <v>0</v>
      </c>
      <c r="F11" s="22">
        <f>IFERROR(CORREL(_xlfn.XLOOKUP(A11,Normalized_Input!$A$3:$V$3,Normalized_Input!$A$4:$V$43),_xlfn.XLOOKUP($F$2,Normalized_Output!$A$3:$V$3,Normalized_Output!$A$4:$V$43)),0)</f>
        <v>0</v>
      </c>
      <c r="G11" s="22">
        <f>IFERROR(CORREL(_xlfn.XLOOKUP(A11,Normalized_Input!$A$3:$V$3,Normalized_Input!$A$4:$V$43),_xlfn.XLOOKUP($G$2,Normalized_Output!$A$3:$V$3,Normalized_Output!$A$4:$V$43)),0)</f>
        <v>0</v>
      </c>
      <c r="H11" s="22">
        <f>IFERROR(CORREL(_xlfn.XLOOKUP(A11,Normalized_Input!$A$3:$V$3,Normalized_Input!$A$4:$V$43),_xlfn.XLOOKUP($H$2,Normalized_Output!$A$3:$V$3,Normalized_Output!$A$4:$V$43)),0)</f>
        <v>0</v>
      </c>
      <c r="I11" s="22">
        <f>IFERROR(CORREL(_xlfn.XLOOKUP(A11,Normalized_Input!$A$3:$V$3,Normalized_Input!$A$4:$V$43),_xlfn.XLOOKUP($I$2,Normalized_Output!$A$3:$V$3,Normalized_Output!$A$4:$V$43)),0)</f>
        <v>0</v>
      </c>
      <c r="J11" s="22">
        <f>IFERROR(CORREL(_xlfn.XLOOKUP(A11,Normalized_Input!$A$3:$V$3,Normalized_Input!$A$4:$V$43),_xlfn.XLOOKUP($J$2,Normalized_Output!$A$3:$V$3,Normalized_Output!$A$4:$V$43)),0)</f>
        <v>0</v>
      </c>
      <c r="K11" s="22">
        <f>IFERROR(CORREL(_xlfn.XLOOKUP(A11,Normalized_Input!$A$3:$V$3,Normalized_Input!$A$4:$V$43),_xlfn.XLOOKUP($K$2,Normalized_Output!$A$3:$V$3,Normalized_Output!$A$4:$V$43)),0)</f>
        <v>0</v>
      </c>
      <c r="L11" s="22">
        <f>IFERROR(CORREL(_xlfn.XLOOKUP(A11,Normalized_Input!$A$3:$V$3,Normalized_Input!$A$4:$V$43),_xlfn.XLOOKUP($L$2,Normalized_Output!$A$3:$V$3,Normalized_Output!$A$4:$V$43)),0)</f>
        <v>0</v>
      </c>
      <c r="M11" s="22">
        <f>IFERROR(CORREL(_xlfn.XLOOKUP(A11,Normalized_Input!$A$3:$V$3,Normalized_Input!$A$4:$V$43),_xlfn.XLOOKUP($M$2,Normalized_Output!$A$3:$V$3,Normalized_Output!$A$4:$V$43)),0)</f>
        <v>0</v>
      </c>
      <c r="N11" s="22">
        <f>IFERROR(CORREL(_xlfn.XLOOKUP(A11,Normalized_Input!$A$3:$V$3,Normalized_Input!$A$4:$V$43),_xlfn.XLOOKUP($N$2,Normalized_Output!$A$3:$V$3,Normalized_Output!$A$4:$V$43)),0)</f>
        <v>0</v>
      </c>
      <c r="O11" s="22">
        <f>IFERROR(CORREL(_xlfn.XLOOKUP(A11,Normalized_Input!$A$3:$V$3,Normalized_Input!$A$4:$V$43),_xlfn.XLOOKUP($O$2,Normalized_Output!$A$3:$V$3,Normalized_Output!$A$4:$V$43)),0)</f>
        <v>0</v>
      </c>
      <c r="P11" s="22">
        <f>IFERROR(CORREL(_xlfn.XLOOKUP(A11,Normalized_Input!$A$3:$V$3,Normalized_Input!$A$4:$V$43),_xlfn.XLOOKUP($P$2,Normalized_Output!$A$3:$V$3,Normalized_Output!$A$4:$V$43)),0)</f>
        <v>0</v>
      </c>
      <c r="Q11" s="22">
        <f>IFERROR(CORREL(_xlfn.XLOOKUP(A11,Normalized_Input!$A$3:$V$3,Normalized_Input!$A$4:$V$43),_xlfn.XLOOKUP($Q$2,Normalized_Output!$A$3:$V$3,Normalized_Output!$A$4:$V$43)),0)</f>
        <v>0</v>
      </c>
      <c r="R11" s="22">
        <f>IFERROR(CORREL(_xlfn.XLOOKUP(A11,Normalized_Input!$A$3:$V$3,Normalized_Input!$A$4:$V$43),_xlfn.XLOOKUP($R$2,Normalized_Output!$A$3:$V$3,Normalized_Output!$A$4:$V$43)),0)</f>
        <v>0</v>
      </c>
      <c r="S11" s="22">
        <f>IFERROR(CORREL(_xlfn.XLOOKUP(A11,Normalized_Input!$A$3:$V$3,Normalized_Input!$A$4:$V$43),_xlfn.XLOOKUP($S$2,Normalized_Output!$A$3:$V$3,Normalized_Output!$A$4:$V$43)),0)</f>
        <v>0</v>
      </c>
      <c r="T11" s="22">
        <f>IFERROR(CORREL(_xlfn.XLOOKUP(A11,Normalized_Input!$A$3:$V$3,Normalized_Input!$A$4:$V$43),_xlfn.XLOOKUP($T$2,Normalized_Output!$A$3:$V$3,Normalized_Output!$A$4:$V$43)),0)</f>
        <v>0</v>
      </c>
      <c r="U11" s="22">
        <f>IFERROR(CORREL(_xlfn.XLOOKUP(A11,Normalized_Input!$A$3:$V$3,Normalized_Input!$A$4:$V$43),_xlfn.XLOOKUP($U$2,Normalized_Output!$A$3:$V$3,Normalized_Output!$A$4:$V$43)),0)</f>
        <v>0</v>
      </c>
      <c r="V11">
        <f>IFERROR(CORREL(_xlfn.XLOOKUP(A11,Normalized_Input!$A$3:$V$3,Normalized_Input!$A$4:$V$43),_xlfn.XLOOKUP($V$2,Normalized_Output!$A$3:$V$3,Normalized_Output!$A$4:$V$43)),0)</f>
        <v>0</v>
      </c>
    </row>
    <row r="12" spans="1:22" ht="16.2" thickBot="1" x14ac:dyDescent="0.35">
      <c r="A12" s="151"/>
      <c r="B12" s="22">
        <f>IFERROR(CORREL(_xlfn.XLOOKUP(A12,Normalized_Input!$A$3:$V$3,Normalized_Input!$A$4:$V$43),_xlfn.XLOOKUP($B$2,Normalized_Output!$A$3:$V$3,Normalized_Output!$A$4:$V$43)),0)</f>
        <v>0</v>
      </c>
      <c r="C12" s="22">
        <f>IFERROR(CORREL(_xlfn.XLOOKUP(A12,Normalized_Input!$A$3:$V$3,Normalized_Input!$A$4:$V$43),_xlfn.XLOOKUP($C$2,Normalized_Output!$A$3:$V$3,Normalized_Output!$A$4:$V$43)),0)</f>
        <v>0</v>
      </c>
      <c r="D12" s="22">
        <f>IFERROR(CORREL(_xlfn.XLOOKUP(A12,Normalized_Input!$A$3:$V$3,Normalized_Input!$A$4:$V$43),_xlfn.XLOOKUP($D$2,Normalized_Output!$A$3:$V$3,Normalized_Output!$A$4:$V$43)),0)</f>
        <v>0</v>
      </c>
      <c r="E12" s="22">
        <f>IFERROR(CORREL(_xlfn.XLOOKUP(A12,Normalized_Input!$A$3:$V$3,Normalized_Input!$A$4:$V$43),_xlfn.XLOOKUP($E$2,Normalized_Output!$A$3:$V$3,Normalized_Output!$A$4:$V$43)),0)</f>
        <v>0</v>
      </c>
      <c r="F12" s="22">
        <f>IFERROR(CORREL(_xlfn.XLOOKUP(A12,Normalized_Input!$A$3:$V$3,Normalized_Input!$A$4:$V$43),_xlfn.XLOOKUP($F$2,Normalized_Output!$A$3:$V$3,Normalized_Output!$A$4:$V$43)),0)</f>
        <v>0</v>
      </c>
      <c r="G12" s="22">
        <f>IFERROR(CORREL(_xlfn.XLOOKUP(A12,Normalized_Input!$A$3:$V$3,Normalized_Input!$A$4:$V$43),_xlfn.XLOOKUP($G$2,Normalized_Output!$A$3:$V$3,Normalized_Output!$A$4:$V$43)),0)</f>
        <v>0</v>
      </c>
      <c r="H12" s="22">
        <f>IFERROR(CORREL(_xlfn.XLOOKUP(A12,Normalized_Input!$A$3:$V$3,Normalized_Input!$A$4:$V$43),_xlfn.XLOOKUP($H$2,Normalized_Output!$A$3:$V$3,Normalized_Output!$A$4:$V$43)),0)</f>
        <v>0</v>
      </c>
      <c r="I12" s="22">
        <f>IFERROR(CORREL(_xlfn.XLOOKUP(A12,Normalized_Input!$A$3:$V$3,Normalized_Input!$A$4:$V$43),_xlfn.XLOOKUP($I$2,Normalized_Output!$A$3:$V$3,Normalized_Output!$A$4:$V$43)),0)</f>
        <v>0</v>
      </c>
      <c r="J12" s="22">
        <f>IFERROR(CORREL(_xlfn.XLOOKUP(A12,Normalized_Input!$A$3:$V$3,Normalized_Input!$A$4:$V$43),_xlfn.XLOOKUP($J$2,Normalized_Output!$A$3:$V$3,Normalized_Output!$A$4:$V$43)),0)</f>
        <v>0</v>
      </c>
      <c r="K12" s="22">
        <f>IFERROR(CORREL(_xlfn.XLOOKUP(A12,Normalized_Input!$A$3:$V$3,Normalized_Input!$A$4:$V$43),_xlfn.XLOOKUP($K$2,Normalized_Output!$A$3:$V$3,Normalized_Output!$A$4:$V$43)),0)</f>
        <v>0</v>
      </c>
      <c r="L12" s="22">
        <f>IFERROR(CORREL(_xlfn.XLOOKUP(A12,Normalized_Input!$A$3:$V$3,Normalized_Input!$A$4:$V$43),_xlfn.XLOOKUP($L$2,Normalized_Output!$A$3:$V$3,Normalized_Output!$A$4:$V$43)),0)</f>
        <v>0</v>
      </c>
      <c r="M12" s="22">
        <f>IFERROR(CORREL(_xlfn.XLOOKUP(A12,Normalized_Input!$A$3:$V$3,Normalized_Input!$A$4:$V$43),_xlfn.XLOOKUP($M$2,Normalized_Output!$A$3:$V$3,Normalized_Output!$A$4:$V$43)),0)</f>
        <v>0</v>
      </c>
      <c r="N12" s="22">
        <f>IFERROR(CORREL(_xlfn.XLOOKUP(A12,Normalized_Input!$A$3:$V$3,Normalized_Input!$A$4:$V$43),_xlfn.XLOOKUP($N$2,Normalized_Output!$A$3:$V$3,Normalized_Output!$A$4:$V$43)),0)</f>
        <v>0</v>
      </c>
      <c r="O12" s="22">
        <f>IFERROR(CORREL(_xlfn.XLOOKUP(A12,Normalized_Input!$A$3:$V$3,Normalized_Input!$A$4:$V$43),_xlfn.XLOOKUP($O$2,Normalized_Output!$A$3:$V$3,Normalized_Output!$A$4:$V$43)),0)</f>
        <v>0</v>
      </c>
      <c r="P12" s="22">
        <f>IFERROR(CORREL(_xlfn.XLOOKUP(A12,Normalized_Input!$A$3:$V$3,Normalized_Input!$A$4:$V$43),_xlfn.XLOOKUP($P$2,Normalized_Output!$A$3:$V$3,Normalized_Output!$A$4:$V$43)),0)</f>
        <v>0</v>
      </c>
      <c r="Q12" s="22">
        <f>IFERROR(CORREL(_xlfn.XLOOKUP(A12,Normalized_Input!$A$3:$V$3,Normalized_Input!$A$4:$V$43),_xlfn.XLOOKUP($Q$2,Normalized_Output!$A$3:$V$3,Normalized_Output!$A$4:$V$43)),0)</f>
        <v>0</v>
      </c>
      <c r="R12" s="22">
        <f>IFERROR(CORREL(_xlfn.XLOOKUP(A12,Normalized_Input!$A$3:$V$3,Normalized_Input!$A$4:$V$43),_xlfn.XLOOKUP($R$2,Normalized_Output!$A$3:$V$3,Normalized_Output!$A$4:$V$43)),0)</f>
        <v>0</v>
      </c>
      <c r="S12" s="22">
        <f>IFERROR(CORREL(_xlfn.XLOOKUP(A12,Normalized_Input!$A$3:$V$3,Normalized_Input!$A$4:$V$43),_xlfn.XLOOKUP($S$2,Normalized_Output!$A$3:$V$3,Normalized_Output!$A$4:$V$43)),0)</f>
        <v>0</v>
      </c>
      <c r="T12" s="22">
        <f>IFERROR(CORREL(_xlfn.XLOOKUP(A12,Normalized_Input!$A$3:$V$3,Normalized_Input!$A$4:$V$43),_xlfn.XLOOKUP($T$2,Normalized_Output!$A$3:$V$3,Normalized_Output!$A$4:$V$43)),0)</f>
        <v>0</v>
      </c>
      <c r="U12" s="22">
        <f>IFERROR(CORREL(_xlfn.XLOOKUP(A12,Normalized_Input!$A$3:$V$3,Normalized_Input!$A$4:$V$43),_xlfn.XLOOKUP($U$2,Normalized_Output!$A$3:$V$3,Normalized_Output!$A$4:$V$43)),0)</f>
        <v>0</v>
      </c>
      <c r="V12">
        <f>IFERROR(CORREL(_xlfn.XLOOKUP(A12,Normalized_Input!$A$3:$V$3,Normalized_Input!$A$4:$V$43),_xlfn.XLOOKUP($V$2,Normalized_Output!$A$3:$V$3,Normalized_Output!$A$4:$V$43)),0)</f>
        <v>0</v>
      </c>
    </row>
    <row r="13" spans="1:22" ht="16.2" thickBot="1" x14ac:dyDescent="0.35">
      <c r="A13" s="151"/>
      <c r="B13" s="22">
        <f>IFERROR(CORREL(_xlfn.XLOOKUP(A13,Normalized_Input!$A$3:$V$3,Normalized_Input!$A$4:$V$43),_xlfn.XLOOKUP($B$2,Normalized_Output!$A$3:$V$3,Normalized_Output!$A$4:$V$43)),0)</f>
        <v>0</v>
      </c>
      <c r="C13" s="22">
        <f>IFERROR(CORREL(_xlfn.XLOOKUP(A13,Normalized_Input!$A$3:$V$3,Normalized_Input!$A$4:$V$43),_xlfn.XLOOKUP($C$2,Normalized_Output!$A$3:$V$3,Normalized_Output!$A$4:$V$43)),0)</f>
        <v>0</v>
      </c>
      <c r="D13" s="22">
        <f>IFERROR(CORREL(_xlfn.XLOOKUP(A13,Normalized_Input!$A$3:$V$3,Normalized_Input!$A$4:$V$43),_xlfn.XLOOKUP($D$2,Normalized_Output!$A$3:$V$3,Normalized_Output!$A$4:$V$43)),0)</f>
        <v>0</v>
      </c>
      <c r="E13" s="22">
        <f>IFERROR(CORREL(_xlfn.XLOOKUP(A13,Normalized_Input!$A$3:$V$3,Normalized_Input!$A$4:$V$43),_xlfn.XLOOKUP($E$2,Normalized_Output!$A$3:$V$3,Normalized_Output!$A$4:$V$43)),0)</f>
        <v>0</v>
      </c>
      <c r="F13" s="22">
        <f>IFERROR(CORREL(_xlfn.XLOOKUP(A13,Normalized_Input!$A$3:$V$3,Normalized_Input!$A$4:$V$43),_xlfn.XLOOKUP($F$2,Normalized_Output!$A$3:$V$3,Normalized_Output!$A$4:$V$43)),0)</f>
        <v>0</v>
      </c>
      <c r="G13" s="22">
        <f>IFERROR(CORREL(_xlfn.XLOOKUP(A13,Normalized_Input!$A$3:$V$3,Normalized_Input!$A$4:$V$43),_xlfn.XLOOKUP($G$2,Normalized_Output!$A$3:$V$3,Normalized_Output!$A$4:$V$43)),0)</f>
        <v>0</v>
      </c>
      <c r="H13" s="22">
        <f>IFERROR(CORREL(_xlfn.XLOOKUP(A13,Normalized_Input!$A$3:$V$3,Normalized_Input!$A$4:$V$43),_xlfn.XLOOKUP($H$2,Normalized_Output!$A$3:$V$3,Normalized_Output!$A$4:$V$43)),0)</f>
        <v>0</v>
      </c>
      <c r="I13" s="22">
        <f>IFERROR(CORREL(_xlfn.XLOOKUP(A13,Normalized_Input!$A$3:$V$3,Normalized_Input!$A$4:$V$43),_xlfn.XLOOKUP($I$2,Normalized_Output!$A$3:$V$3,Normalized_Output!$A$4:$V$43)),0)</f>
        <v>0</v>
      </c>
      <c r="J13" s="22">
        <f>IFERROR(CORREL(_xlfn.XLOOKUP(A13,Normalized_Input!$A$3:$V$3,Normalized_Input!$A$4:$V$43),_xlfn.XLOOKUP($J$2,Normalized_Output!$A$3:$V$3,Normalized_Output!$A$4:$V$43)),0)</f>
        <v>0</v>
      </c>
      <c r="K13" s="22">
        <f>IFERROR(CORREL(_xlfn.XLOOKUP(A13,Normalized_Input!$A$3:$V$3,Normalized_Input!$A$4:$V$43),_xlfn.XLOOKUP($K$2,Normalized_Output!$A$3:$V$3,Normalized_Output!$A$4:$V$43)),0)</f>
        <v>0</v>
      </c>
      <c r="L13" s="22">
        <f>IFERROR(CORREL(_xlfn.XLOOKUP(A13,Normalized_Input!$A$3:$V$3,Normalized_Input!$A$4:$V$43),_xlfn.XLOOKUP($L$2,Normalized_Output!$A$3:$V$3,Normalized_Output!$A$4:$V$43)),0)</f>
        <v>0</v>
      </c>
      <c r="M13" s="22">
        <f>IFERROR(CORREL(_xlfn.XLOOKUP(A13,Normalized_Input!$A$3:$V$3,Normalized_Input!$A$4:$V$43),_xlfn.XLOOKUP($M$2,Normalized_Output!$A$3:$V$3,Normalized_Output!$A$4:$V$43)),0)</f>
        <v>0</v>
      </c>
      <c r="N13" s="22">
        <f>IFERROR(CORREL(_xlfn.XLOOKUP(A13,Normalized_Input!$A$3:$V$3,Normalized_Input!$A$4:$V$43),_xlfn.XLOOKUP($N$2,Normalized_Output!$A$3:$V$3,Normalized_Output!$A$4:$V$43)),0)</f>
        <v>0</v>
      </c>
      <c r="O13" s="22">
        <f>IFERROR(CORREL(_xlfn.XLOOKUP(A13,Normalized_Input!$A$3:$V$3,Normalized_Input!$A$4:$V$43),_xlfn.XLOOKUP($O$2,Normalized_Output!$A$3:$V$3,Normalized_Output!$A$4:$V$43)),0)</f>
        <v>0</v>
      </c>
      <c r="P13" s="22">
        <f>IFERROR(CORREL(_xlfn.XLOOKUP(A13,Normalized_Input!$A$3:$V$3,Normalized_Input!$A$4:$V$43),_xlfn.XLOOKUP($P$2,Normalized_Output!$A$3:$V$3,Normalized_Output!$A$4:$V$43)),0)</f>
        <v>0</v>
      </c>
      <c r="Q13" s="22">
        <f>IFERROR(CORREL(_xlfn.XLOOKUP(A13,Normalized_Input!$A$3:$V$3,Normalized_Input!$A$4:$V$43),_xlfn.XLOOKUP($Q$2,Normalized_Output!$A$3:$V$3,Normalized_Output!$A$4:$V$43)),0)</f>
        <v>0</v>
      </c>
      <c r="R13" s="22">
        <f>IFERROR(CORREL(_xlfn.XLOOKUP(A13,Normalized_Input!$A$3:$V$3,Normalized_Input!$A$4:$V$43),_xlfn.XLOOKUP($R$2,Normalized_Output!$A$3:$V$3,Normalized_Output!$A$4:$V$43)),0)</f>
        <v>0</v>
      </c>
      <c r="S13" s="22">
        <f>IFERROR(CORREL(_xlfn.XLOOKUP(A13,Normalized_Input!$A$3:$V$3,Normalized_Input!$A$4:$V$43),_xlfn.XLOOKUP($S$2,Normalized_Output!$A$3:$V$3,Normalized_Output!$A$4:$V$43)),0)</f>
        <v>0</v>
      </c>
      <c r="T13" s="22">
        <f>IFERROR(CORREL(_xlfn.XLOOKUP(A13,Normalized_Input!$A$3:$V$3,Normalized_Input!$A$4:$V$43),_xlfn.XLOOKUP($T$2,Normalized_Output!$A$3:$V$3,Normalized_Output!$A$4:$V$43)),0)</f>
        <v>0</v>
      </c>
      <c r="U13" s="22">
        <f>IFERROR(CORREL(_xlfn.XLOOKUP(A13,Normalized_Input!$A$3:$V$3,Normalized_Input!$A$4:$V$43),_xlfn.XLOOKUP($U$2,Normalized_Output!$A$3:$V$3,Normalized_Output!$A$4:$V$43)),0)</f>
        <v>0</v>
      </c>
      <c r="V13">
        <f>IFERROR(CORREL(_xlfn.XLOOKUP(A13,Normalized_Input!$A$3:$V$3,Normalized_Input!$A$4:$V$43),_xlfn.XLOOKUP($V$2,Normalized_Output!$A$3:$V$3,Normalized_Output!$A$4:$V$43)),0)</f>
        <v>0</v>
      </c>
    </row>
    <row r="14" spans="1:22" ht="16.2" thickBot="1" x14ac:dyDescent="0.35">
      <c r="A14" s="151"/>
      <c r="B14" s="22">
        <f>IFERROR(CORREL(_xlfn.XLOOKUP(A14,Normalized_Input!$A$3:$V$3,Normalized_Input!$A$4:$V$43),_xlfn.XLOOKUP($B$2,Normalized_Output!$A$3:$V$3,Normalized_Output!$A$4:$V$43)),0)</f>
        <v>0</v>
      </c>
      <c r="C14" s="22">
        <f>IFERROR(CORREL(_xlfn.XLOOKUP(A14,Normalized_Input!$A$3:$V$3,Normalized_Input!$A$4:$V$43),_xlfn.XLOOKUP($C$2,Normalized_Output!$A$3:$V$3,Normalized_Output!$A$4:$V$43)),0)</f>
        <v>0</v>
      </c>
      <c r="D14" s="22">
        <f>IFERROR(CORREL(_xlfn.XLOOKUP(A14,Normalized_Input!$A$3:$V$3,Normalized_Input!$A$4:$V$43),_xlfn.XLOOKUP($D$2,Normalized_Output!$A$3:$V$3,Normalized_Output!$A$4:$V$43)),0)</f>
        <v>0</v>
      </c>
      <c r="E14" s="22">
        <f>IFERROR(CORREL(_xlfn.XLOOKUP(A14,Normalized_Input!$A$3:$V$3,Normalized_Input!$A$4:$V$43),_xlfn.XLOOKUP($E$2,Normalized_Output!$A$3:$V$3,Normalized_Output!$A$4:$V$43)),0)</f>
        <v>0</v>
      </c>
      <c r="F14" s="22">
        <f>IFERROR(CORREL(_xlfn.XLOOKUP(A14,Normalized_Input!$A$3:$V$3,Normalized_Input!$A$4:$V$43),_xlfn.XLOOKUP($F$2,Normalized_Output!$A$3:$V$3,Normalized_Output!$A$4:$V$43)),0)</f>
        <v>0</v>
      </c>
      <c r="G14" s="22">
        <f>IFERROR(CORREL(_xlfn.XLOOKUP(A14,Normalized_Input!$A$3:$V$3,Normalized_Input!$A$4:$V$43),_xlfn.XLOOKUP($G$2,Normalized_Output!$A$3:$V$3,Normalized_Output!$A$4:$V$43)),0)</f>
        <v>0</v>
      </c>
      <c r="H14" s="22">
        <f>IFERROR(CORREL(_xlfn.XLOOKUP(A14,Normalized_Input!$A$3:$V$3,Normalized_Input!$A$4:$V$43),_xlfn.XLOOKUP($H$2,Normalized_Output!$A$3:$V$3,Normalized_Output!$A$4:$V$43)),0)</f>
        <v>0</v>
      </c>
      <c r="I14" s="22">
        <f>IFERROR(CORREL(_xlfn.XLOOKUP(A14,Normalized_Input!$A$3:$V$3,Normalized_Input!$A$4:$V$43),_xlfn.XLOOKUP($I$2,Normalized_Output!$A$3:$V$3,Normalized_Output!$A$4:$V$43)),0)</f>
        <v>0</v>
      </c>
      <c r="J14" s="22">
        <f>IFERROR(CORREL(_xlfn.XLOOKUP(A14,Normalized_Input!$A$3:$V$3,Normalized_Input!$A$4:$V$43),_xlfn.XLOOKUP($J$2,Normalized_Output!$A$3:$V$3,Normalized_Output!$A$4:$V$43)),0)</f>
        <v>0</v>
      </c>
      <c r="K14" s="22">
        <f>IFERROR(CORREL(_xlfn.XLOOKUP(A14,Normalized_Input!$A$3:$V$3,Normalized_Input!$A$4:$V$43),_xlfn.XLOOKUP($K$2,Normalized_Output!$A$3:$V$3,Normalized_Output!$A$4:$V$43)),0)</f>
        <v>0</v>
      </c>
      <c r="L14" s="22">
        <f>IFERROR(CORREL(_xlfn.XLOOKUP(A14,Normalized_Input!$A$3:$V$3,Normalized_Input!$A$4:$V$43),_xlfn.XLOOKUP($L$2,Normalized_Output!$A$3:$V$3,Normalized_Output!$A$4:$V$43)),0)</f>
        <v>0</v>
      </c>
      <c r="M14" s="22">
        <f>IFERROR(CORREL(_xlfn.XLOOKUP(A14,Normalized_Input!$A$3:$V$3,Normalized_Input!$A$4:$V$43),_xlfn.XLOOKUP($M$2,Normalized_Output!$A$3:$V$3,Normalized_Output!$A$4:$V$43)),0)</f>
        <v>0</v>
      </c>
      <c r="N14" s="22">
        <f>IFERROR(CORREL(_xlfn.XLOOKUP(A14,Normalized_Input!$A$3:$V$3,Normalized_Input!$A$4:$V$43),_xlfn.XLOOKUP($N$2,Normalized_Output!$A$3:$V$3,Normalized_Output!$A$4:$V$43)),0)</f>
        <v>0</v>
      </c>
      <c r="O14" s="22">
        <f>IFERROR(CORREL(_xlfn.XLOOKUP(A14,Normalized_Input!$A$3:$V$3,Normalized_Input!$A$4:$V$43),_xlfn.XLOOKUP($O$2,Normalized_Output!$A$3:$V$3,Normalized_Output!$A$4:$V$43)),0)</f>
        <v>0</v>
      </c>
      <c r="P14" s="22">
        <f>IFERROR(CORREL(_xlfn.XLOOKUP(A14,Normalized_Input!$A$3:$V$3,Normalized_Input!$A$4:$V$43),_xlfn.XLOOKUP($P$2,Normalized_Output!$A$3:$V$3,Normalized_Output!$A$4:$V$43)),0)</f>
        <v>0</v>
      </c>
      <c r="Q14" s="22">
        <f>IFERROR(CORREL(_xlfn.XLOOKUP(A14,Normalized_Input!$A$3:$V$3,Normalized_Input!$A$4:$V$43),_xlfn.XLOOKUP($Q$2,Normalized_Output!$A$3:$V$3,Normalized_Output!$A$4:$V$43)),0)</f>
        <v>0</v>
      </c>
      <c r="R14" s="22">
        <f>IFERROR(CORREL(_xlfn.XLOOKUP(A14,Normalized_Input!$A$3:$V$3,Normalized_Input!$A$4:$V$43),_xlfn.XLOOKUP($R$2,Normalized_Output!$A$3:$V$3,Normalized_Output!$A$4:$V$43)),0)</f>
        <v>0</v>
      </c>
      <c r="S14" s="22">
        <f>IFERROR(CORREL(_xlfn.XLOOKUP(A14,Normalized_Input!$A$3:$V$3,Normalized_Input!$A$4:$V$43),_xlfn.XLOOKUP($S$2,Normalized_Output!$A$3:$V$3,Normalized_Output!$A$4:$V$43)),0)</f>
        <v>0</v>
      </c>
      <c r="T14" s="22">
        <f>IFERROR(CORREL(_xlfn.XLOOKUP(A14,Normalized_Input!$A$3:$V$3,Normalized_Input!$A$4:$V$43),_xlfn.XLOOKUP($T$2,Normalized_Output!$A$3:$V$3,Normalized_Output!$A$4:$V$43)),0)</f>
        <v>0</v>
      </c>
      <c r="U14" s="22">
        <f>IFERROR(CORREL(_xlfn.XLOOKUP(A14,Normalized_Input!$A$3:$V$3,Normalized_Input!$A$4:$V$43),_xlfn.XLOOKUP($U$2,Normalized_Output!$A$3:$V$3,Normalized_Output!$A$4:$V$43)),0)</f>
        <v>0</v>
      </c>
      <c r="V14">
        <f>IFERROR(CORREL(_xlfn.XLOOKUP(A14,Normalized_Input!$A$3:$V$3,Normalized_Input!$A$4:$V$43),_xlfn.XLOOKUP($V$2,Normalized_Output!$A$3:$V$3,Normalized_Output!$A$4:$V$43)),0)</f>
        <v>0</v>
      </c>
    </row>
    <row r="15" spans="1:22" ht="16.2" thickBot="1" x14ac:dyDescent="0.35">
      <c r="A15" s="151"/>
      <c r="B15" s="22">
        <f>IFERROR(CORREL(_xlfn.XLOOKUP(A15,Normalized_Input!$A$3:$V$3,Normalized_Input!$A$4:$V$43),_xlfn.XLOOKUP($B$2,Normalized_Output!$A$3:$V$3,Normalized_Output!$A$4:$V$43)),0)</f>
        <v>0</v>
      </c>
      <c r="C15" s="22">
        <f>IFERROR(CORREL(_xlfn.XLOOKUP(A15,Normalized_Input!$A$3:$V$3,Normalized_Input!$A$4:$V$43),_xlfn.XLOOKUP($C$2,Normalized_Output!$A$3:$V$3,Normalized_Output!$A$4:$V$43)),0)</f>
        <v>0</v>
      </c>
      <c r="D15" s="22">
        <f>IFERROR(CORREL(_xlfn.XLOOKUP(A15,Normalized_Input!$A$3:$V$3,Normalized_Input!$A$4:$V$43),_xlfn.XLOOKUP($D$2,Normalized_Output!$A$3:$V$3,Normalized_Output!$A$4:$V$43)),0)</f>
        <v>0</v>
      </c>
      <c r="E15" s="22">
        <f>IFERROR(CORREL(_xlfn.XLOOKUP(A15,Normalized_Input!$A$3:$V$3,Normalized_Input!$A$4:$V$43),_xlfn.XLOOKUP($E$2,Normalized_Output!$A$3:$V$3,Normalized_Output!$A$4:$V$43)),0)</f>
        <v>0</v>
      </c>
      <c r="F15" s="22">
        <f>IFERROR(CORREL(_xlfn.XLOOKUP(A15,Normalized_Input!$A$3:$V$3,Normalized_Input!$A$4:$V$43),_xlfn.XLOOKUP($F$2,Normalized_Output!$A$3:$V$3,Normalized_Output!$A$4:$V$43)),0)</f>
        <v>0</v>
      </c>
      <c r="G15" s="22">
        <f>IFERROR(CORREL(_xlfn.XLOOKUP(A15,Normalized_Input!$A$3:$V$3,Normalized_Input!$A$4:$V$43),_xlfn.XLOOKUP($G$2,Normalized_Output!$A$3:$V$3,Normalized_Output!$A$4:$V$43)),0)</f>
        <v>0</v>
      </c>
      <c r="H15" s="22">
        <f>IFERROR(CORREL(_xlfn.XLOOKUP(A15,Normalized_Input!$A$3:$V$3,Normalized_Input!$A$4:$V$43),_xlfn.XLOOKUP($H$2,Normalized_Output!$A$3:$V$3,Normalized_Output!$A$4:$V$43)),0)</f>
        <v>0</v>
      </c>
      <c r="I15" s="22">
        <f>IFERROR(CORREL(_xlfn.XLOOKUP(A15,Normalized_Input!$A$3:$V$3,Normalized_Input!$A$4:$V$43),_xlfn.XLOOKUP($I$2,Normalized_Output!$A$3:$V$3,Normalized_Output!$A$4:$V$43)),0)</f>
        <v>0</v>
      </c>
      <c r="J15" s="22">
        <f>IFERROR(CORREL(_xlfn.XLOOKUP(A15,Normalized_Input!$A$3:$V$3,Normalized_Input!$A$4:$V$43),_xlfn.XLOOKUP($J$2,Normalized_Output!$A$3:$V$3,Normalized_Output!$A$4:$V$43)),0)</f>
        <v>0</v>
      </c>
      <c r="K15" s="22">
        <f>IFERROR(CORREL(_xlfn.XLOOKUP(A15,Normalized_Input!$A$3:$V$3,Normalized_Input!$A$4:$V$43),_xlfn.XLOOKUP($K$2,Normalized_Output!$A$3:$V$3,Normalized_Output!$A$4:$V$43)),0)</f>
        <v>0</v>
      </c>
      <c r="L15" s="22">
        <f>IFERROR(CORREL(_xlfn.XLOOKUP(A15,Normalized_Input!$A$3:$V$3,Normalized_Input!$A$4:$V$43),_xlfn.XLOOKUP($L$2,Normalized_Output!$A$3:$V$3,Normalized_Output!$A$4:$V$43)),0)</f>
        <v>0</v>
      </c>
      <c r="M15" s="22">
        <f>IFERROR(CORREL(_xlfn.XLOOKUP(A15,Normalized_Input!$A$3:$V$3,Normalized_Input!$A$4:$V$43),_xlfn.XLOOKUP($M$2,Normalized_Output!$A$3:$V$3,Normalized_Output!$A$4:$V$43)),0)</f>
        <v>0</v>
      </c>
      <c r="N15" s="22">
        <f>IFERROR(CORREL(_xlfn.XLOOKUP(A15,Normalized_Input!$A$3:$V$3,Normalized_Input!$A$4:$V$43),_xlfn.XLOOKUP($N$2,Normalized_Output!$A$3:$V$3,Normalized_Output!$A$4:$V$43)),0)</f>
        <v>0</v>
      </c>
      <c r="O15" s="22">
        <f>IFERROR(CORREL(_xlfn.XLOOKUP(A15,Normalized_Input!$A$3:$V$3,Normalized_Input!$A$4:$V$43),_xlfn.XLOOKUP($O$2,Normalized_Output!$A$3:$V$3,Normalized_Output!$A$4:$V$43)),0)</f>
        <v>0</v>
      </c>
      <c r="P15" s="22">
        <f>IFERROR(CORREL(_xlfn.XLOOKUP(A15,Normalized_Input!$A$3:$V$3,Normalized_Input!$A$4:$V$43),_xlfn.XLOOKUP($P$2,Normalized_Output!$A$3:$V$3,Normalized_Output!$A$4:$V$43)),0)</f>
        <v>0</v>
      </c>
      <c r="Q15" s="22">
        <f>IFERROR(CORREL(_xlfn.XLOOKUP(A15,Normalized_Input!$A$3:$V$3,Normalized_Input!$A$4:$V$43),_xlfn.XLOOKUP($Q$2,Normalized_Output!$A$3:$V$3,Normalized_Output!$A$4:$V$43)),0)</f>
        <v>0</v>
      </c>
      <c r="R15" s="22">
        <f>IFERROR(CORREL(_xlfn.XLOOKUP(A15,Normalized_Input!$A$3:$V$3,Normalized_Input!$A$4:$V$43),_xlfn.XLOOKUP($R$2,Normalized_Output!$A$3:$V$3,Normalized_Output!$A$4:$V$43)),0)</f>
        <v>0</v>
      </c>
      <c r="S15" s="22">
        <f>IFERROR(CORREL(_xlfn.XLOOKUP(A15,Normalized_Input!$A$3:$V$3,Normalized_Input!$A$4:$V$43),_xlfn.XLOOKUP($S$2,Normalized_Output!$A$3:$V$3,Normalized_Output!$A$4:$V$43)),0)</f>
        <v>0</v>
      </c>
      <c r="T15" s="22">
        <f>IFERROR(CORREL(_xlfn.XLOOKUP(A15,Normalized_Input!$A$3:$V$3,Normalized_Input!$A$4:$V$43),_xlfn.XLOOKUP($T$2,Normalized_Output!$A$3:$V$3,Normalized_Output!$A$4:$V$43)),0)</f>
        <v>0</v>
      </c>
      <c r="U15" s="22">
        <f>IFERROR(CORREL(_xlfn.XLOOKUP(A15,Normalized_Input!$A$3:$V$3,Normalized_Input!$A$4:$V$43),_xlfn.XLOOKUP($U$2,Normalized_Output!$A$3:$V$3,Normalized_Output!$A$4:$V$43)),0)</f>
        <v>0</v>
      </c>
      <c r="V15">
        <f>IFERROR(CORREL(_xlfn.XLOOKUP(A15,Normalized_Input!$A$3:$V$3,Normalized_Input!$A$4:$V$43),_xlfn.XLOOKUP($V$2,Normalized_Output!$A$3:$V$3,Normalized_Output!$A$4:$V$43)),0)</f>
        <v>0</v>
      </c>
    </row>
    <row r="16" spans="1:22" ht="16.2" thickBot="1" x14ac:dyDescent="0.35">
      <c r="A16" s="151"/>
      <c r="B16" s="22">
        <f>IFERROR(CORREL(_xlfn.XLOOKUP(A16,Normalized_Input!$A$3:$V$3,Normalized_Input!$A$4:$V$43),_xlfn.XLOOKUP($B$2,Normalized_Output!$A$3:$V$3,Normalized_Output!$A$4:$V$43)),0)</f>
        <v>0</v>
      </c>
      <c r="C16" s="22">
        <f>IFERROR(CORREL(_xlfn.XLOOKUP(A16,Normalized_Input!$A$3:$V$3,Normalized_Input!$A$4:$V$43),_xlfn.XLOOKUP($C$2,Normalized_Output!$A$3:$V$3,Normalized_Output!$A$4:$V$43)),0)</f>
        <v>0</v>
      </c>
      <c r="D16" s="22">
        <f>IFERROR(CORREL(_xlfn.XLOOKUP(A16,Normalized_Input!$A$3:$V$3,Normalized_Input!$A$4:$V$43),_xlfn.XLOOKUP($D$2,Normalized_Output!$A$3:$V$3,Normalized_Output!$A$4:$V$43)),0)</f>
        <v>0</v>
      </c>
      <c r="E16" s="22">
        <f>IFERROR(CORREL(_xlfn.XLOOKUP(A16,Normalized_Input!$A$3:$V$3,Normalized_Input!$A$4:$V$43),_xlfn.XLOOKUP($E$2,Normalized_Output!$A$3:$V$3,Normalized_Output!$A$4:$V$43)),0)</f>
        <v>0</v>
      </c>
      <c r="F16" s="22">
        <f>IFERROR(CORREL(_xlfn.XLOOKUP(A16,Normalized_Input!$A$3:$V$3,Normalized_Input!$A$4:$V$43),_xlfn.XLOOKUP($F$2,Normalized_Output!$A$3:$V$3,Normalized_Output!$A$4:$V$43)),0)</f>
        <v>0</v>
      </c>
      <c r="G16" s="22">
        <f>IFERROR(CORREL(_xlfn.XLOOKUP(A16,Normalized_Input!$A$3:$V$3,Normalized_Input!$A$4:$V$43),_xlfn.XLOOKUP($G$2,Normalized_Output!$A$3:$V$3,Normalized_Output!$A$4:$V$43)),0)</f>
        <v>0</v>
      </c>
      <c r="H16" s="22">
        <f>IFERROR(CORREL(_xlfn.XLOOKUP(A16,Normalized_Input!$A$3:$V$3,Normalized_Input!$A$4:$V$43),_xlfn.XLOOKUP($H$2,Normalized_Output!$A$3:$V$3,Normalized_Output!$A$4:$V$43)),0)</f>
        <v>0</v>
      </c>
      <c r="I16" s="22">
        <f>IFERROR(CORREL(_xlfn.XLOOKUP(A16,Normalized_Input!$A$3:$V$3,Normalized_Input!$A$4:$V$43),_xlfn.XLOOKUP($I$2,Normalized_Output!$A$3:$V$3,Normalized_Output!$A$4:$V$43)),0)</f>
        <v>0</v>
      </c>
      <c r="J16" s="22">
        <f>IFERROR(CORREL(_xlfn.XLOOKUP(A16,Normalized_Input!$A$3:$V$3,Normalized_Input!$A$4:$V$43),_xlfn.XLOOKUP($J$2,Normalized_Output!$A$3:$V$3,Normalized_Output!$A$4:$V$43)),0)</f>
        <v>0</v>
      </c>
      <c r="K16" s="22">
        <f>IFERROR(CORREL(_xlfn.XLOOKUP(A16,Normalized_Input!$A$3:$V$3,Normalized_Input!$A$4:$V$43),_xlfn.XLOOKUP($K$2,Normalized_Output!$A$3:$V$3,Normalized_Output!$A$4:$V$43)),0)</f>
        <v>0</v>
      </c>
      <c r="L16" s="22">
        <f>IFERROR(CORREL(_xlfn.XLOOKUP(A16,Normalized_Input!$A$3:$V$3,Normalized_Input!$A$4:$V$43),_xlfn.XLOOKUP($L$2,Normalized_Output!$A$3:$V$3,Normalized_Output!$A$4:$V$43)),0)</f>
        <v>0</v>
      </c>
      <c r="M16" s="22">
        <f>IFERROR(CORREL(_xlfn.XLOOKUP(A16,Normalized_Input!$A$3:$V$3,Normalized_Input!$A$4:$V$43),_xlfn.XLOOKUP($M$2,Normalized_Output!$A$3:$V$3,Normalized_Output!$A$4:$V$43)),0)</f>
        <v>0</v>
      </c>
      <c r="N16" s="22">
        <f>IFERROR(CORREL(_xlfn.XLOOKUP(A16,Normalized_Input!$A$3:$V$3,Normalized_Input!$A$4:$V$43),_xlfn.XLOOKUP($N$2,Normalized_Output!$A$3:$V$3,Normalized_Output!$A$4:$V$43)),0)</f>
        <v>0</v>
      </c>
      <c r="O16" s="22">
        <f>IFERROR(CORREL(_xlfn.XLOOKUP(A16,Normalized_Input!$A$3:$V$3,Normalized_Input!$A$4:$V$43),_xlfn.XLOOKUP($O$2,Normalized_Output!$A$3:$V$3,Normalized_Output!$A$4:$V$43)),0)</f>
        <v>0</v>
      </c>
      <c r="P16" s="22">
        <f>IFERROR(CORREL(_xlfn.XLOOKUP(A16,Normalized_Input!$A$3:$V$3,Normalized_Input!$A$4:$V$43),_xlfn.XLOOKUP($P$2,Normalized_Output!$A$3:$V$3,Normalized_Output!$A$4:$V$43)),0)</f>
        <v>0</v>
      </c>
      <c r="Q16" s="22">
        <f>IFERROR(CORREL(_xlfn.XLOOKUP(A16,Normalized_Input!$A$3:$V$3,Normalized_Input!$A$4:$V$43),_xlfn.XLOOKUP($Q$2,Normalized_Output!$A$3:$V$3,Normalized_Output!$A$4:$V$43)),0)</f>
        <v>0</v>
      </c>
      <c r="R16" s="22">
        <f>IFERROR(CORREL(_xlfn.XLOOKUP(A16,Normalized_Input!$A$3:$V$3,Normalized_Input!$A$4:$V$43),_xlfn.XLOOKUP($R$2,Normalized_Output!$A$3:$V$3,Normalized_Output!$A$4:$V$43)),0)</f>
        <v>0</v>
      </c>
      <c r="S16" s="22">
        <f>IFERROR(CORREL(_xlfn.XLOOKUP(A16,Normalized_Input!$A$3:$V$3,Normalized_Input!$A$4:$V$43),_xlfn.XLOOKUP($S$2,Normalized_Output!$A$3:$V$3,Normalized_Output!$A$4:$V$43)),0)</f>
        <v>0</v>
      </c>
      <c r="T16" s="22">
        <f>IFERROR(CORREL(_xlfn.XLOOKUP(A16,Normalized_Input!$A$3:$V$3,Normalized_Input!$A$4:$V$43),_xlfn.XLOOKUP($T$2,Normalized_Output!$A$3:$V$3,Normalized_Output!$A$4:$V$43)),0)</f>
        <v>0</v>
      </c>
      <c r="U16" s="22">
        <f>IFERROR(CORREL(_xlfn.XLOOKUP(A16,Normalized_Input!$A$3:$V$3,Normalized_Input!$A$4:$V$43),_xlfn.XLOOKUP($U$2,Normalized_Output!$A$3:$V$3,Normalized_Output!$A$4:$V$43)),0)</f>
        <v>0</v>
      </c>
      <c r="V16">
        <f>IFERROR(CORREL(_xlfn.XLOOKUP(A16,Normalized_Input!$A$3:$V$3,Normalized_Input!$A$4:$V$43),_xlfn.XLOOKUP($V$2,Normalized_Output!$A$3:$V$3,Normalized_Output!$A$4:$V$43)),0)</f>
        <v>0</v>
      </c>
    </row>
    <row r="17" spans="1:22" ht="16.2" thickBot="1" x14ac:dyDescent="0.35">
      <c r="A17" s="151"/>
      <c r="B17" s="22">
        <f>IFERROR(CORREL(_xlfn.XLOOKUP(A17,Normalized_Input!$A$3:$V$3,Normalized_Input!$A$4:$V$43),_xlfn.XLOOKUP($B$2,Normalized_Output!$A$3:$V$3,Normalized_Output!$A$4:$V$43)),0)</f>
        <v>0</v>
      </c>
      <c r="C17" s="22">
        <f>IFERROR(CORREL(_xlfn.XLOOKUP(A17,Normalized_Input!$A$3:$V$3,Normalized_Input!$A$4:$V$43),_xlfn.XLOOKUP($C$2,Normalized_Output!$A$3:$V$3,Normalized_Output!$A$4:$V$43)),0)</f>
        <v>0</v>
      </c>
      <c r="D17" s="22">
        <f>IFERROR(CORREL(_xlfn.XLOOKUP(A17,Normalized_Input!$A$3:$V$3,Normalized_Input!$A$4:$V$43),_xlfn.XLOOKUP($D$2,Normalized_Output!$A$3:$V$3,Normalized_Output!$A$4:$V$43)),0)</f>
        <v>0</v>
      </c>
      <c r="E17" s="22">
        <f>IFERROR(CORREL(_xlfn.XLOOKUP(A17,Normalized_Input!$A$3:$V$3,Normalized_Input!$A$4:$V$43),_xlfn.XLOOKUP($E$2,Normalized_Output!$A$3:$V$3,Normalized_Output!$A$4:$V$43)),0)</f>
        <v>0</v>
      </c>
      <c r="F17" s="22">
        <f>IFERROR(CORREL(_xlfn.XLOOKUP(A17,Normalized_Input!$A$3:$V$3,Normalized_Input!$A$4:$V$43),_xlfn.XLOOKUP($F$2,Normalized_Output!$A$3:$V$3,Normalized_Output!$A$4:$V$43)),0)</f>
        <v>0</v>
      </c>
      <c r="G17" s="22">
        <f>IFERROR(CORREL(_xlfn.XLOOKUP(A17,Normalized_Input!$A$3:$V$3,Normalized_Input!$A$4:$V$43),_xlfn.XLOOKUP($G$2,Normalized_Output!$A$3:$V$3,Normalized_Output!$A$4:$V$43)),0)</f>
        <v>0</v>
      </c>
      <c r="H17" s="22">
        <f>IFERROR(CORREL(_xlfn.XLOOKUP(A17,Normalized_Input!$A$3:$V$3,Normalized_Input!$A$4:$V$43),_xlfn.XLOOKUP($H$2,Normalized_Output!$A$3:$V$3,Normalized_Output!$A$4:$V$43)),0)</f>
        <v>0</v>
      </c>
      <c r="I17" s="22">
        <f>IFERROR(CORREL(_xlfn.XLOOKUP(A17,Normalized_Input!$A$3:$V$3,Normalized_Input!$A$4:$V$43),_xlfn.XLOOKUP($I$2,Normalized_Output!$A$3:$V$3,Normalized_Output!$A$4:$V$43)),0)</f>
        <v>0</v>
      </c>
      <c r="J17" s="22">
        <f>IFERROR(CORREL(_xlfn.XLOOKUP(A17,Normalized_Input!$A$3:$V$3,Normalized_Input!$A$4:$V$43),_xlfn.XLOOKUP($J$2,Normalized_Output!$A$3:$V$3,Normalized_Output!$A$4:$V$43)),0)</f>
        <v>0</v>
      </c>
      <c r="K17" s="22">
        <f>IFERROR(CORREL(_xlfn.XLOOKUP(A17,Normalized_Input!$A$3:$V$3,Normalized_Input!$A$4:$V$43),_xlfn.XLOOKUP($K$2,Normalized_Output!$A$3:$V$3,Normalized_Output!$A$4:$V$43)),0)</f>
        <v>0</v>
      </c>
      <c r="L17" s="22">
        <f>IFERROR(CORREL(_xlfn.XLOOKUP(A17,Normalized_Input!$A$3:$V$3,Normalized_Input!$A$4:$V$43),_xlfn.XLOOKUP($L$2,Normalized_Output!$A$3:$V$3,Normalized_Output!$A$4:$V$43)),0)</f>
        <v>0</v>
      </c>
      <c r="M17" s="22">
        <f>IFERROR(CORREL(_xlfn.XLOOKUP(A17,Normalized_Input!$A$3:$V$3,Normalized_Input!$A$4:$V$43),_xlfn.XLOOKUP($M$2,Normalized_Output!$A$3:$V$3,Normalized_Output!$A$4:$V$43)),0)</f>
        <v>0</v>
      </c>
      <c r="N17" s="22">
        <f>IFERROR(CORREL(_xlfn.XLOOKUP(A17,Normalized_Input!$A$3:$V$3,Normalized_Input!$A$4:$V$43),_xlfn.XLOOKUP($N$2,Normalized_Output!$A$3:$V$3,Normalized_Output!$A$4:$V$43)),0)</f>
        <v>0</v>
      </c>
      <c r="O17" s="22">
        <f>IFERROR(CORREL(_xlfn.XLOOKUP(A17,Normalized_Input!$A$3:$V$3,Normalized_Input!$A$4:$V$43),_xlfn.XLOOKUP($O$2,Normalized_Output!$A$3:$V$3,Normalized_Output!$A$4:$V$43)),0)</f>
        <v>0</v>
      </c>
      <c r="P17" s="22">
        <f>IFERROR(CORREL(_xlfn.XLOOKUP(A17,Normalized_Input!$A$3:$V$3,Normalized_Input!$A$4:$V$43),_xlfn.XLOOKUP($P$2,Normalized_Output!$A$3:$V$3,Normalized_Output!$A$4:$V$43)),0)</f>
        <v>0</v>
      </c>
      <c r="Q17" s="22">
        <f>IFERROR(CORREL(_xlfn.XLOOKUP(A17,Normalized_Input!$A$3:$V$3,Normalized_Input!$A$4:$V$43),_xlfn.XLOOKUP($Q$2,Normalized_Output!$A$3:$V$3,Normalized_Output!$A$4:$V$43)),0)</f>
        <v>0</v>
      </c>
      <c r="R17" s="22">
        <f>IFERROR(CORREL(_xlfn.XLOOKUP(A17,Normalized_Input!$A$3:$V$3,Normalized_Input!$A$4:$V$43),_xlfn.XLOOKUP($R$2,Normalized_Output!$A$3:$V$3,Normalized_Output!$A$4:$V$43)),0)</f>
        <v>0</v>
      </c>
      <c r="S17" s="22">
        <f>IFERROR(CORREL(_xlfn.XLOOKUP(A17,Normalized_Input!$A$3:$V$3,Normalized_Input!$A$4:$V$43),_xlfn.XLOOKUP($S$2,Normalized_Output!$A$3:$V$3,Normalized_Output!$A$4:$V$43)),0)</f>
        <v>0</v>
      </c>
      <c r="T17" s="22">
        <f>IFERROR(CORREL(_xlfn.XLOOKUP(A17,Normalized_Input!$A$3:$V$3,Normalized_Input!$A$4:$V$43),_xlfn.XLOOKUP($T$2,Normalized_Output!$A$3:$V$3,Normalized_Output!$A$4:$V$43)),0)</f>
        <v>0</v>
      </c>
      <c r="U17" s="22">
        <f>IFERROR(CORREL(_xlfn.XLOOKUP(A17,Normalized_Input!$A$3:$V$3,Normalized_Input!$A$4:$V$43),_xlfn.XLOOKUP($U$2,Normalized_Output!$A$3:$V$3,Normalized_Output!$A$4:$V$43)),0)</f>
        <v>0</v>
      </c>
      <c r="V17">
        <f>IFERROR(CORREL(_xlfn.XLOOKUP(A17,Normalized_Input!$A$3:$V$3,Normalized_Input!$A$4:$V$43),_xlfn.XLOOKUP($V$2,Normalized_Output!$A$3:$V$3,Normalized_Output!$A$4:$V$43)),0)</f>
        <v>0</v>
      </c>
    </row>
    <row r="18" spans="1:22" ht="16.2" thickBot="1" x14ac:dyDescent="0.35">
      <c r="A18" s="151"/>
      <c r="B18" s="22">
        <f>IFERROR(CORREL(_xlfn.XLOOKUP(A18,Normalized_Input!$A$3:$V$3,Normalized_Input!$A$4:$V$43),_xlfn.XLOOKUP($B$2,Normalized_Output!$A$3:$V$3,Normalized_Output!$A$4:$V$43)),0)</f>
        <v>0</v>
      </c>
      <c r="C18" s="22">
        <f>IFERROR(CORREL(_xlfn.XLOOKUP(A18,Normalized_Input!$A$3:$V$3,Normalized_Input!$A$4:$V$43),_xlfn.XLOOKUP($C$2,Normalized_Output!$A$3:$V$3,Normalized_Output!$A$4:$V$43)),0)</f>
        <v>0</v>
      </c>
      <c r="D18" s="22">
        <f>IFERROR(CORREL(_xlfn.XLOOKUP(A18,Normalized_Input!$A$3:$V$3,Normalized_Input!$A$4:$V$43),_xlfn.XLOOKUP($D$2,Normalized_Output!$A$3:$V$3,Normalized_Output!$A$4:$V$43)),0)</f>
        <v>0</v>
      </c>
      <c r="E18" s="22">
        <f>IFERROR(CORREL(_xlfn.XLOOKUP(A18,Normalized_Input!$A$3:$V$3,Normalized_Input!$A$4:$V$43),_xlfn.XLOOKUP($E$2,Normalized_Output!$A$3:$V$3,Normalized_Output!$A$4:$V$43)),0)</f>
        <v>0</v>
      </c>
      <c r="F18" s="22">
        <f>IFERROR(CORREL(_xlfn.XLOOKUP(A18,Normalized_Input!$A$3:$V$3,Normalized_Input!$A$4:$V$43),_xlfn.XLOOKUP($F$2,Normalized_Output!$A$3:$V$3,Normalized_Output!$A$4:$V$43)),0)</f>
        <v>0</v>
      </c>
      <c r="G18" s="22">
        <f>IFERROR(CORREL(_xlfn.XLOOKUP(A18,Normalized_Input!$A$3:$V$3,Normalized_Input!$A$4:$V$43),_xlfn.XLOOKUP($G$2,Normalized_Output!$A$3:$V$3,Normalized_Output!$A$4:$V$43)),0)</f>
        <v>0</v>
      </c>
      <c r="H18" s="22">
        <f>IFERROR(CORREL(_xlfn.XLOOKUP(A18,Normalized_Input!$A$3:$V$3,Normalized_Input!$A$4:$V$43),_xlfn.XLOOKUP($H$2,Normalized_Output!$A$3:$V$3,Normalized_Output!$A$4:$V$43)),0)</f>
        <v>0</v>
      </c>
      <c r="I18" s="22">
        <f>IFERROR(CORREL(_xlfn.XLOOKUP(A18,Normalized_Input!$A$3:$V$3,Normalized_Input!$A$4:$V$43),_xlfn.XLOOKUP($I$2,Normalized_Output!$A$3:$V$3,Normalized_Output!$A$4:$V$43)),0)</f>
        <v>0</v>
      </c>
      <c r="J18" s="22">
        <f>IFERROR(CORREL(_xlfn.XLOOKUP(A18,Normalized_Input!$A$3:$V$3,Normalized_Input!$A$4:$V$43),_xlfn.XLOOKUP($J$2,Normalized_Output!$A$3:$V$3,Normalized_Output!$A$4:$V$43)),0)</f>
        <v>0</v>
      </c>
      <c r="K18" s="22">
        <f>IFERROR(CORREL(_xlfn.XLOOKUP(A18,Normalized_Input!$A$3:$V$3,Normalized_Input!$A$4:$V$43),_xlfn.XLOOKUP($K$2,Normalized_Output!$A$3:$V$3,Normalized_Output!$A$4:$V$43)),0)</f>
        <v>0</v>
      </c>
      <c r="L18" s="22">
        <f>IFERROR(CORREL(_xlfn.XLOOKUP(A18,Normalized_Input!$A$3:$V$3,Normalized_Input!$A$4:$V$43),_xlfn.XLOOKUP($L$2,Normalized_Output!$A$3:$V$3,Normalized_Output!$A$4:$V$43)),0)</f>
        <v>0</v>
      </c>
      <c r="M18" s="22">
        <f>IFERROR(CORREL(_xlfn.XLOOKUP(A18,Normalized_Input!$A$3:$V$3,Normalized_Input!$A$4:$V$43),_xlfn.XLOOKUP($M$2,Normalized_Output!$A$3:$V$3,Normalized_Output!$A$4:$V$43)),0)</f>
        <v>0</v>
      </c>
      <c r="N18" s="22">
        <f>IFERROR(CORREL(_xlfn.XLOOKUP(A18,Normalized_Input!$A$3:$V$3,Normalized_Input!$A$4:$V$43),_xlfn.XLOOKUP($N$2,Normalized_Output!$A$3:$V$3,Normalized_Output!$A$4:$V$43)),0)</f>
        <v>0</v>
      </c>
      <c r="O18" s="22">
        <f>IFERROR(CORREL(_xlfn.XLOOKUP(A18,Normalized_Input!$A$3:$V$3,Normalized_Input!$A$4:$V$43),_xlfn.XLOOKUP($O$2,Normalized_Output!$A$3:$V$3,Normalized_Output!$A$4:$V$43)),0)</f>
        <v>0</v>
      </c>
      <c r="P18" s="22">
        <f>IFERROR(CORREL(_xlfn.XLOOKUP(A18,Normalized_Input!$A$3:$V$3,Normalized_Input!$A$4:$V$43),_xlfn.XLOOKUP($P$2,Normalized_Output!$A$3:$V$3,Normalized_Output!$A$4:$V$43)),0)</f>
        <v>0</v>
      </c>
      <c r="Q18" s="22">
        <f>IFERROR(CORREL(_xlfn.XLOOKUP(A18,Normalized_Input!$A$3:$V$3,Normalized_Input!$A$4:$V$43),_xlfn.XLOOKUP($Q$2,Normalized_Output!$A$3:$V$3,Normalized_Output!$A$4:$V$43)),0)</f>
        <v>0</v>
      </c>
      <c r="R18" s="22">
        <f>IFERROR(CORREL(_xlfn.XLOOKUP(A18,Normalized_Input!$A$3:$V$3,Normalized_Input!$A$4:$V$43),_xlfn.XLOOKUP($R$2,Normalized_Output!$A$3:$V$3,Normalized_Output!$A$4:$V$43)),0)</f>
        <v>0</v>
      </c>
      <c r="S18" s="22">
        <f>IFERROR(CORREL(_xlfn.XLOOKUP(A18,Normalized_Input!$A$3:$V$3,Normalized_Input!$A$4:$V$43),_xlfn.XLOOKUP($S$2,Normalized_Output!$A$3:$V$3,Normalized_Output!$A$4:$V$43)),0)</f>
        <v>0</v>
      </c>
      <c r="T18" s="22">
        <f>IFERROR(CORREL(_xlfn.XLOOKUP(A18,Normalized_Input!$A$3:$V$3,Normalized_Input!$A$4:$V$43),_xlfn.XLOOKUP($T$2,Normalized_Output!$A$3:$V$3,Normalized_Output!$A$4:$V$43)),0)</f>
        <v>0</v>
      </c>
      <c r="U18" s="22">
        <f>IFERROR(CORREL(_xlfn.XLOOKUP(A18,Normalized_Input!$A$3:$V$3,Normalized_Input!$A$4:$V$43),_xlfn.XLOOKUP($U$2,Normalized_Output!$A$3:$V$3,Normalized_Output!$A$4:$V$43)),0)</f>
        <v>0</v>
      </c>
      <c r="V18">
        <f>IFERROR(CORREL(_xlfn.XLOOKUP(A18,Normalized_Input!$A$3:$V$3,Normalized_Input!$A$4:$V$43),_xlfn.XLOOKUP($V$2,Normalized_Output!$A$3:$V$3,Normalized_Output!$A$4:$V$43)),0)</f>
        <v>0</v>
      </c>
    </row>
    <row r="19" spans="1:22" ht="16.2" thickBot="1" x14ac:dyDescent="0.35">
      <c r="A19" s="151"/>
      <c r="B19" s="22">
        <f>IFERROR(CORREL(_xlfn.XLOOKUP(A19,Normalized_Input!$A$3:$V$3,Normalized_Input!$A$4:$V$43),_xlfn.XLOOKUP($B$2,Normalized_Output!$A$3:$V$3,Normalized_Output!$A$4:$V$43)),0)</f>
        <v>0</v>
      </c>
      <c r="C19" s="22">
        <f>IFERROR(CORREL(_xlfn.XLOOKUP(A19,Normalized_Input!$A$3:$V$3,Normalized_Input!$A$4:$V$43),_xlfn.XLOOKUP($C$2,Normalized_Output!$A$3:$V$3,Normalized_Output!$A$4:$V$43)),0)</f>
        <v>0</v>
      </c>
      <c r="D19" s="22">
        <f>IFERROR(CORREL(_xlfn.XLOOKUP(A19,Normalized_Input!$A$3:$V$3,Normalized_Input!$A$4:$V$43),_xlfn.XLOOKUP($D$2,Normalized_Output!$A$3:$V$3,Normalized_Output!$A$4:$V$43)),0)</f>
        <v>0</v>
      </c>
      <c r="E19" s="22">
        <f>IFERROR(CORREL(_xlfn.XLOOKUP(A19,Normalized_Input!$A$3:$V$3,Normalized_Input!$A$4:$V$43),_xlfn.XLOOKUP($E$2,Normalized_Output!$A$3:$V$3,Normalized_Output!$A$4:$V$43)),0)</f>
        <v>0</v>
      </c>
      <c r="F19" s="22">
        <f>IFERROR(CORREL(_xlfn.XLOOKUP(A19,Normalized_Input!$A$3:$V$3,Normalized_Input!$A$4:$V$43),_xlfn.XLOOKUP($F$2,Normalized_Output!$A$3:$V$3,Normalized_Output!$A$4:$V$43)),0)</f>
        <v>0</v>
      </c>
      <c r="G19" s="22">
        <f>IFERROR(CORREL(_xlfn.XLOOKUP(A19,Normalized_Input!$A$3:$V$3,Normalized_Input!$A$4:$V$43),_xlfn.XLOOKUP($G$2,Normalized_Output!$A$3:$V$3,Normalized_Output!$A$4:$V$43)),0)</f>
        <v>0</v>
      </c>
      <c r="H19" s="22">
        <f>IFERROR(CORREL(_xlfn.XLOOKUP(A19,Normalized_Input!$A$3:$V$3,Normalized_Input!$A$4:$V$43),_xlfn.XLOOKUP($H$2,Normalized_Output!$A$3:$V$3,Normalized_Output!$A$4:$V$43)),0)</f>
        <v>0</v>
      </c>
      <c r="I19" s="22">
        <f>IFERROR(CORREL(_xlfn.XLOOKUP(A19,Normalized_Input!$A$3:$V$3,Normalized_Input!$A$4:$V$43),_xlfn.XLOOKUP($I$2,Normalized_Output!$A$3:$V$3,Normalized_Output!$A$4:$V$43)),0)</f>
        <v>0</v>
      </c>
      <c r="J19" s="22">
        <f>IFERROR(CORREL(_xlfn.XLOOKUP(A19,Normalized_Input!$A$3:$V$3,Normalized_Input!$A$4:$V$43),_xlfn.XLOOKUP($J$2,Normalized_Output!$A$3:$V$3,Normalized_Output!$A$4:$V$43)),0)</f>
        <v>0</v>
      </c>
      <c r="K19" s="22">
        <f>IFERROR(CORREL(_xlfn.XLOOKUP(A19,Normalized_Input!$A$3:$V$3,Normalized_Input!$A$4:$V$43),_xlfn.XLOOKUP($K$2,Normalized_Output!$A$3:$V$3,Normalized_Output!$A$4:$V$43)),0)</f>
        <v>0</v>
      </c>
      <c r="L19" s="22">
        <f>IFERROR(CORREL(_xlfn.XLOOKUP(A19,Normalized_Input!$A$3:$V$3,Normalized_Input!$A$4:$V$43),_xlfn.XLOOKUP($L$2,Normalized_Output!$A$3:$V$3,Normalized_Output!$A$4:$V$43)),0)</f>
        <v>0</v>
      </c>
      <c r="M19" s="22">
        <f>IFERROR(CORREL(_xlfn.XLOOKUP(A19,Normalized_Input!$A$3:$V$3,Normalized_Input!$A$4:$V$43),_xlfn.XLOOKUP($M$2,Normalized_Output!$A$3:$V$3,Normalized_Output!$A$4:$V$43)),0)</f>
        <v>0</v>
      </c>
      <c r="N19" s="22">
        <f>IFERROR(CORREL(_xlfn.XLOOKUP(A19,Normalized_Input!$A$3:$V$3,Normalized_Input!$A$4:$V$43),_xlfn.XLOOKUP($N$2,Normalized_Output!$A$3:$V$3,Normalized_Output!$A$4:$V$43)),0)</f>
        <v>0</v>
      </c>
      <c r="O19" s="22">
        <f>IFERROR(CORREL(_xlfn.XLOOKUP(A19,Normalized_Input!$A$3:$V$3,Normalized_Input!$A$4:$V$43),_xlfn.XLOOKUP($O$2,Normalized_Output!$A$3:$V$3,Normalized_Output!$A$4:$V$43)),0)</f>
        <v>0</v>
      </c>
      <c r="P19" s="22">
        <f>IFERROR(CORREL(_xlfn.XLOOKUP(A19,Normalized_Input!$A$3:$V$3,Normalized_Input!$A$4:$V$43),_xlfn.XLOOKUP($P$2,Normalized_Output!$A$3:$V$3,Normalized_Output!$A$4:$V$43)),0)</f>
        <v>0</v>
      </c>
      <c r="Q19" s="22">
        <f>IFERROR(CORREL(_xlfn.XLOOKUP(A19,Normalized_Input!$A$3:$V$3,Normalized_Input!$A$4:$V$43),_xlfn.XLOOKUP($Q$2,Normalized_Output!$A$3:$V$3,Normalized_Output!$A$4:$V$43)),0)</f>
        <v>0</v>
      </c>
      <c r="R19" s="22">
        <f>IFERROR(CORREL(_xlfn.XLOOKUP(A19,Normalized_Input!$A$3:$V$3,Normalized_Input!$A$4:$V$43),_xlfn.XLOOKUP($R$2,Normalized_Output!$A$3:$V$3,Normalized_Output!$A$4:$V$43)),0)</f>
        <v>0</v>
      </c>
      <c r="S19" s="22">
        <f>IFERROR(CORREL(_xlfn.XLOOKUP(A19,Normalized_Input!$A$3:$V$3,Normalized_Input!$A$4:$V$43),_xlfn.XLOOKUP($S$2,Normalized_Output!$A$3:$V$3,Normalized_Output!$A$4:$V$43)),0)</f>
        <v>0</v>
      </c>
      <c r="T19" s="22">
        <f>IFERROR(CORREL(_xlfn.XLOOKUP(A19,Normalized_Input!$A$3:$V$3,Normalized_Input!$A$4:$V$43),_xlfn.XLOOKUP($T$2,Normalized_Output!$A$3:$V$3,Normalized_Output!$A$4:$V$43)),0)</f>
        <v>0</v>
      </c>
      <c r="U19" s="22">
        <f>IFERROR(CORREL(_xlfn.XLOOKUP(A19,Normalized_Input!$A$3:$V$3,Normalized_Input!$A$4:$V$43),_xlfn.XLOOKUP($U$2,Normalized_Output!$A$3:$V$3,Normalized_Output!$A$4:$V$43)),0)</f>
        <v>0</v>
      </c>
      <c r="V19">
        <f>IFERROR(CORREL(_xlfn.XLOOKUP(A19,Normalized_Input!$A$3:$V$3,Normalized_Input!$A$4:$V$43),_xlfn.XLOOKUP($V$2,Normalized_Output!$A$3:$V$3,Normalized_Output!$A$4:$V$43)),0)</f>
        <v>0</v>
      </c>
    </row>
    <row r="20" spans="1:22" ht="16.2" thickBot="1" x14ac:dyDescent="0.35">
      <c r="A20" s="151"/>
      <c r="B20" s="22">
        <f>IFERROR(CORREL(_xlfn.XLOOKUP(A20,Normalized_Input!$A$3:$V$3,Normalized_Input!$A$4:$V$43),_xlfn.XLOOKUP($B$2,Normalized_Output!$A$3:$V$3,Normalized_Output!$A$4:$V$43)),0)</f>
        <v>0</v>
      </c>
      <c r="C20" s="22">
        <f>IFERROR(CORREL(_xlfn.XLOOKUP(A20,Normalized_Input!$A$3:$V$3,Normalized_Input!$A$4:$V$43),_xlfn.XLOOKUP($C$2,Normalized_Output!$A$3:$V$3,Normalized_Output!$A$4:$V$43)),0)</f>
        <v>0</v>
      </c>
      <c r="D20" s="22">
        <f>IFERROR(CORREL(_xlfn.XLOOKUP(A20,Normalized_Input!$A$3:$V$3,Normalized_Input!$A$4:$V$43),_xlfn.XLOOKUP($D$2,Normalized_Output!$A$3:$V$3,Normalized_Output!$A$4:$V$43)),0)</f>
        <v>0</v>
      </c>
      <c r="E20" s="22">
        <f>IFERROR(CORREL(_xlfn.XLOOKUP(A20,Normalized_Input!$A$3:$V$3,Normalized_Input!$A$4:$V$43),_xlfn.XLOOKUP($E$2,Normalized_Output!$A$3:$V$3,Normalized_Output!$A$4:$V$43)),0)</f>
        <v>0</v>
      </c>
      <c r="F20" s="22">
        <f>IFERROR(CORREL(_xlfn.XLOOKUP(A20,Normalized_Input!$A$3:$V$3,Normalized_Input!$A$4:$V$43),_xlfn.XLOOKUP($F$2,Normalized_Output!$A$3:$V$3,Normalized_Output!$A$4:$V$43)),0)</f>
        <v>0</v>
      </c>
      <c r="G20" s="22">
        <f>IFERROR(CORREL(_xlfn.XLOOKUP(A20,Normalized_Input!$A$3:$V$3,Normalized_Input!$A$4:$V$43),_xlfn.XLOOKUP($G$2,Normalized_Output!$A$3:$V$3,Normalized_Output!$A$4:$V$43)),0)</f>
        <v>0</v>
      </c>
      <c r="H20" s="22">
        <f>IFERROR(CORREL(_xlfn.XLOOKUP(A20,Normalized_Input!$A$3:$V$3,Normalized_Input!$A$4:$V$43),_xlfn.XLOOKUP($H$2,Normalized_Output!$A$3:$V$3,Normalized_Output!$A$4:$V$43)),0)</f>
        <v>0</v>
      </c>
      <c r="I20" s="22">
        <f>IFERROR(CORREL(_xlfn.XLOOKUP(A20,Normalized_Input!$A$3:$V$3,Normalized_Input!$A$4:$V$43),_xlfn.XLOOKUP($I$2,Normalized_Output!$A$3:$V$3,Normalized_Output!$A$4:$V$43)),0)</f>
        <v>0</v>
      </c>
      <c r="J20" s="22">
        <f>IFERROR(CORREL(_xlfn.XLOOKUP(A20,Normalized_Input!$A$3:$V$3,Normalized_Input!$A$4:$V$43),_xlfn.XLOOKUP($J$2,Normalized_Output!$A$3:$V$3,Normalized_Output!$A$4:$V$43)),0)</f>
        <v>0</v>
      </c>
      <c r="K20" s="22">
        <f>IFERROR(CORREL(_xlfn.XLOOKUP(A20,Normalized_Input!$A$3:$V$3,Normalized_Input!$A$4:$V$43),_xlfn.XLOOKUP($K$2,Normalized_Output!$A$3:$V$3,Normalized_Output!$A$4:$V$43)),0)</f>
        <v>0</v>
      </c>
      <c r="L20" s="22">
        <f>IFERROR(CORREL(_xlfn.XLOOKUP(A20,Normalized_Input!$A$3:$V$3,Normalized_Input!$A$4:$V$43),_xlfn.XLOOKUP($L$2,Normalized_Output!$A$3:$V$3,Normalized_Output!$A$4:$V$43)),0)</f>
        <v>0</v>
      </c>
      <c r="M20" s="22">
        <f>IFERROR(CORREL(_xlfn.XLOOKUP(A20,Normalized_Input!$A$3:$V$3,Normalized_Input!$A$4:$V$43),_xlfn.XLOOKUP($M$2,Normalized_Output!$A$3:$V$3,Normalized_Output!$A$4:$V$43)),0)</f>
        <v>0</v>
      </c>
      <c r="N20" s="22">
        <f>IFERROR(CORREL(_xlfn.XLOOKUP(A20,Normalized_Input!$A$3:$V$3,Normalized_Input!$A$4:$V$43),_xlfn.XLOOKUP($N$2,Normalized_Output!$A$3:$V$3,Normalized_Output!$A$4:$V$43)),0)</f>
        <v>0</v>
      </c>
      <c r="O20" s="22">
        <f>IFERROR(CORREL(_xlfn.XLOOKUP(A20,Normalized_Input!$A$3:$V$3,Normalized_Input!$A$4:$V$43),_xlfn.XLOOKUP($O$2,Normalized_Output!$A$3:$V$3,Normalized_Output!$A$4:$V$43)),0)</f>
        <v>0</v>
      </c>
      <c r="P20" s="22">
        <f>IFERROR(CORREL(_xlfn.XLOOKUP(A20,Normalized_Input!$A$3:$V$3,Normalized_Input!$A$4:$V$43),_xlfn.XLOOKUP($P$2,Normalized_Output!$A$3:$V$3,Normalized_Output!$A$4:$V$43)),0)</f>
        <v>0</v>
      </c>
      <c r="Q20" s="22">
        <f>IFERROR(CORREL(_xlfn.XLOOKUP(A20,Normalized_Input!$A$3:$V$3,Normalized_Input!$A$4:$V$43),_xlfn.XLOOKUP($Q$2,Normalized_Output!$A$3:$V$3,Normalized_Output!$A$4:$V$43)),0)</f>
        <v>0</v>
      </c>
      <c r="R20" s="22">
        <f>IFERROR(CORREL(_xlfn.XLOOKUP(A20,Normalized_Input!$A$3:$V$3,Normalized_Input!$A$4:$V$43),_xlfn.XLOOKUP($R$2,Normalized_Output!$A$3:$V$3,Normalized_Output!$A$4:$V$43)),0)</f>
        <v>0</v>
      </c>
      <c r="S20" s="22">
        <f>IFERROR(CORREL(_xlfn.XLOOKUP(A20,Normalized_Input!$A$3:$V$3,Normalized_Input!$A$4:$V$43),_xlfn.XLOOKUP($S$2,Normalized_Output!$A$3:$V$3,Normalized_Output!$A$4:$V$43)),0)</f>
        <v>0</v>
      </c>
      <c r="T20" s="22">
        <f>IFERROR(CORREL(_xlfn.XLOOKUP(A20,Normalized_Input!$A$3:$V$3,Normalized_Input!$A$4:$V$43),_xlfn.XLOOKUP($T$2,Normalized_Output!$A$3:$V$3,Normalized_Output!$A$4:$V$43)),0)</f>
        <v>0</v>
      </c>
      <c r="U20" s="22">
        <f>IFERROR(CORREL(_xlfn.XLOOKUP(A20,Normalized_Input!$A$3:$V$3,Normalized_Input!$A$4:$V$43),_xlfn.XLOOKUP($U$2,Normalized_Output!$A$3:$V$3,Normalized_Output!$A$4:$V$43)),0)</f>
        <v>0</v>
      </c>
      <c r="V20">
        <f>IFERROR(CORREL(_xlfn.XLOOKUP(A20,Normalized_Input!$A$3:$V$3,Normalized_Input!$A$4:$V$43),_xlfn.XLOOKUP($V$2,Normalized_Output!$A$3:$V$3,Normalized_Output!$A$4:$V$43)),0)</f>
        <v>0</v>
      </c>
    </row>
    <row r="21" spans="1:22" ht="16.2" thickBot="1" x14ac:dyDescent="0.35">
      <c r="A21" s="151"/>
      <c r="B21" s="22">
        <f>IFERROR(CORREL(_xlfn.XLOOKUP(A21,Normalized_Input!$A$3:$V$3,Normalized_Input!$A$4:$V$43),_xlfn.XLOOKUP($B$2,Normalized_Output!$A$3:$V$3,Normalized_Output!$A$4:$V$43)),0)</f>
        <v>0</v>
      </c>
      <c r="C21" s="22">
        <f>IFERROR(CORREL(_xlfn.XLOOKUP(A21,Normalized_Input!$A$3:$V$3,Normalized_Input!$A$4:$V$43),_xlfn.XLOOKUP($C$2,Normalized_Output!$A$3:$V$3,Normalized_Output!$A$4:$V$43)),0)</f>
        <v>0</v>
      </c>
      <c r="D21" s="22">
        <f>IFERROR(CORREL(_xlfn.XLOOKUP(A21,Normalized_Input!$A$3:$V$3,Normalized_Input!$A$4:$V$43),_xlfn.XLOOKUP($D$2,Normalized_Output!$A$3:$V$3,Normalized_Output!$A$4:$V$43)),0)</f>
        <v>0</v>
      </c>
      <c r="E21" s="22">
        <f>IFERROR(CORREL(_xlfn.XLOOKUP(A21,Normalized_Input!$A$3:$V$3,Normalized_Input!$A$4:$V$43),_xlfn.XLOOKUP($E$2,Normalized_Output!$A$3:$V$3,Normalized_Output!$A$4:$V$43)),0)</f>
        <v>0</v>
      </c>
      <c r="F21" s="22">
        <f>IFERROR(CORREL(_xlfn.XLOOKUP(A21,Normalized_Input!$A$3:$V$3,Normalized_Input!$A$4:$V$43),_xlfn.XLOOKUP($F$2,Normalized_Output!$A$3:$V$3,Normalized_Output!$A$4:$V$43)),0)</f>
        <v>0</v>
      </c>
      <c r="G21" s="22">
        <f>IFERROR(CORREL(_xlfn.XLOOKUP(A21,Normalized_Input!$A$3:$V$3,Normalized_Input!$A$4:$V$43),_xlfn.XLOOKUP($G$2,Normalized_Output!$A$3:$V$3,Normalized_Output!$A$4:$V$43)),0)</f>
        <v>0</v>
      </c>
      <c r="H21" s="22">
        <f>IFERROR(CORREL(_xlfn.XLOOKUP(A21,Normalized_Input!$A$3:$V$3,Normalized_Input!$A$4:$V$43),_xlfn.XLOOKUP($H$2,Normalized_Output!$A$3:$V$3,Normalized_Output!$A$4:$V$43)),0)</f>
        <v>0</v>
      </c>
      <c r="I21" s="22">
        <f>IFERROR(CORREL(_xlfn.XLOOKUP(A21,Normalized_Input!$A$3:$V$3,Normalized_Input!$A$4:$V$43),_xlfn.XLOOKUP($I$2,Normalized_Output!$A$3:$V$3,Normalized_Output!$A$4:$V$43)),0)</f>
        <v>0</v>
      </c>
      <c r="J21" s="22">
        <f>IFERROR(CORREL(_xlfn.XLOOKUP(A21,Normalized_Input!$A$3:$V$3,Normalized_Input!$A$4:$V$43),_xlfn.XLOOKUP($J$2,Normalized_Output!$A$3:$V$3,Normalized_Output!$A$4:$V$43)),0)</f>
        <v>0</v>
      </c>
      <c r="K21" s="22">
        <f>IFERROR(CORREL(_xlfn.XLOOKUP(A21,Normalized_Input!$A$3:$V$3,Normalized_Input!$A$4:$V$43),_xlfn.XLOOKUP($K$2,Normalized_Output!$A$3:$V$3,Normalized_Output!$A$4:$V$43)),0)</f>
        <v>0</v>
      </c>
      <c r="L21" s="22">
        <f>IFERROR(CORREL(_xlfn.XLOOKUP(A21,Normalized_Input!$A$3:$V$3,Normalized_Input!$A$4:$V$43),_xlfn.XLOOKUP($L$2,Normalized_Output!$A$3:$V$3,Normalized_Output!$A$4:$V$43)),0)</f>
        <v>0</v>
      </c>
      <c r="M21" s="22">
        <f>IFERROR(CORREL(_xlfn.XLOOKUP(A21,Normalized_Input!$A$3:$V$3,Normalized_Input!$A$4:$V$43),_xlfn.XLOOKUP($M$2,Normalized_Output!$A$3:$V$3,Normalized_Output!$A$4:$V$43)),0)</f>
        <v>0</v>
      </c>
      <c r="N21" s="22">
        <f>IFERROR(CORREL(_xlfn.XLOOKUP(A21,Normalized_Input!$A$3:$V$3,Normalized_Input!$A$4:$V$43),_xlfn.XLOOKUP($N$2,Normalized_Output!$A$3:$V$3,Normalized_Output!$A$4:$V$43)),0)</f>
        <v>0</v>
      </c>
      <c r="O21" s="22">
        <f>IFERROR(CORREL(_xlfn.XLOOKUP(A21,Normalized_Input!$A$3:$V$3,Normalized_Input!$A$4:$V$43),_xlfn.XLOOKUP($O$2,Normalized_Output!$A$3:$V$3,Normalized_Output!$A$4:$V$43)),0)</f>
        <v>0</v>
      </c>
      <c r="P21" s="22">
        <f>IFERROR(CORREL(_xlfn.XLOOKUP(A21,Normalized_Input!$A$3:$V$3,Normalized_Input!$A$4:$V$43),_xlfn.XLOOKUP($P$2,Normalized_Output!$A$3:$V$3,Normalized_Output!$A$4:$V$43)),0)</f>
        <v>0</v>
      </c>
      <c r="Q21" s="22">
        <f>IFERROR(CORREL(_xlfn.XLOOKUP(A21,Normalized_Input!$A$3:$V$3,Normalized_Input!$A$4:$V$43),_xlfn.XLOOKUP($Q$2,Normalized_Output!$A$3:$V$3,Normalized_Output!$A$4:$V$43)),0)</f>
        <v>0</v>
      </c>
      <c r="R21" s="22">
        <f>IFERROR(CORREL(_xlfn.XLOOKUP(A21,Normalized_Input!$A$3:$V$3,Normalized_Input!$A$4:$V$43),_xlfn.XLOOKUP($R$2,Normalized_Output!$A$3:$V$3,Normalized_Output!$A$4:$V$43)),0)</f>
        <v>0</v>
      </c>
      <c r="S21" s="22">
        <f>IFERROR(CORREL(_xlfn.XLOOKUP(A21,Normalized_Input!$A$3:$V$3,Normalized_Input!$A$4:$V$43),_xlfn.XLOOKUP($S$2,Normalized_Output!$A$3:$V$3,Normalized_Output!$A$4:$V$43)),0)</f>
        <v>0</v>
      </c>
      <c r="T21" s="22">
        <f>IFERROR(CORREL(_xlfn.XLOOKUP(A21,Normalized_Input!$A$3:$V$3,Normalized_Input!$A$4:$V$43),_xlfn.XLOOKUP($T$2,Normalized_Output!$A$3:$V$3,Normalized_Output!$A$4:$V$43)),0)</f>
        <v>0</v>
      </c>
      <c r="U21" s="22">
        <f>IFERROR(CORREL(_xlfn.XLOOKUP(A21,Normalized_Input!$A$3:$V$3,Normalized_Input!$A$4:$V$43),_xlfn.XLOOKUP($U$2,Normalized_Output!$A$3:$V$3,Normalized_Output!$A$4:$V$43)),0)</f>
        <v>0</v>
      </c>
      <c r="V21">
        <f>IFERROR(CORREL(_xlfn.XLOOKUP(A21,Normalized_Input!$A$3:$V$3,Normalized_Input!$A$4:$V$43),_xlfn.XLOOKUP($V$2,Normalized_Output!$A$3:$V$3,Normalized_Output!$A$4:$V$43)),0)</f>
        <v>0</v>
      </c>
    </row>
    <row r="22" spans="1:22" ht="16.2" thickBot="1" x14ac:dyDescent="0.35">
      <c r="A22" s="151"/>
      <c r="B22" s="22">
        <f>IFERROR(CORREL(_xlfn.XLOOKUP(A22,Normalized_Input!$A$3:$V$3,Normalized_Input!$A$4:$V$43),_xlfn.XLOOKUP($B$2,Normalized_Output!$A$3:$V$3,Normalized_Output!$A$4:$V$43)),0)</f>
        <v>0</v>
      </c>
      <c r="C22" s="22">
        <f>IFERROR(CORREL(_xlfn.XLOOKUP(A22,Normalized_Input!$A$3:$V$3,Normalized_Input!$A$4:$V$43),_xlfn.XLOOKUP($C$2,Normalized_Output!$A$3:$V$3,Normalized_Output!$A$4:$V$43)),0)</f>
        <v>0</v>
      </c>
      <c r="D22" s="22">
        <f>IFERROR(CORREL(_xlfn.XLOOKUP(A22,Normalized_Input!$A$3:$V$3,Normalized_Input!$A$4:$V$43),_xlfn.XLOOKUP($D$2,Normalized_Output!$A$3:$V$3,Normalized_Output!$A$4:$V$43)),0)</f>
        <v>0</v>
      </c>
      <c r="E22" s="22">
        <f>IFERROR(CORREL(_xlfn.XLOOKUP(A22,Normalized_Input!$A$3:$V$3,Normalized_Input!$A$4:$V$43),_xlfn.XLOOKUP($E$2,Normalized_Output!$A$3:$V$3,Normalized_Output!$A$4:$V$43)),0)</f>
        <v>0</v>
      </c>
      <c r="F22" s="22">
        <f>IFERROR(CORREL(_xlfn.XLOOKUP(A22,Normalized_Input!$A$3:$V$3,Normalized_Input!$A$4:$V$43),_xlfn.XLOOKUP($F$2,Normalized_Output!$A$3:$V$3,Normalized_Output!$A$4:$V$43)),0)</f>
        <v>0</v>
      </c>
      <c r="G22" s="22">
        <f>IFERROR(CORREL(_xlfn.XLOOKUP(A22,Normalized_Input!$A$3:$V$3,Normalized_Input!$A$4:$V$43),_xlfn.XLOOKUP($G$2,Normalized_Output!$A$3:$V$3,Normalized_Output!$A$4:$V$43)),0)</f>
        <v>0</v>
      </c>
      <c r="H22" s="22">
        <f>IFERROR(CORREL(_xlfn.XLOOKUP(A22,Normalized_Input!$A$3:$V$3,Normalized_Input!$A$4:$V$43),_xlfn.XLOOKUP($H$2,Normalized_Output!$A$3:$V$3,Normalized_Output!$A$4:$V$43)),0)</f>
        <v>0</v>
      </c>
      <c r="I22" s="22">
        <f>IFERROR(CORREL(_xlfn.XLOOKUP(A22,Normalized_Input!$A$3:$V$3,Normalized_Input!$A$4:$V$43),_xlfn.XLOOKUP($I$2,Normalized_Output!$A$3:$V$3,Normalized_Output!$A$4:$V$43)),0)</f>
        <v>0</v>
      </c>
      <c r="J22" s="22">
        <f>IFERROR(CORREL(_xlfn.XLOOKUP(A22,Normalized_Input!$A$3:$V$3,Normalized_Input!$A$4:$V$43),_xlfn.XLOOKUP($J$2,Normalized_Output!$A$3:$V$3,Normalized_Output!$A$4:$V$43)),0)</f>
        <v>0</v>
      </c>
      <c r="K22" s="22">
        <f>IFERROR(CORREL(_xlfn.XLOOKUP(A22,Normalized_Input!$A$3:$V$3,Normalized_Input!$A$4:$V$43),_xlfn.XLOOKUP($K$2,Normalized_Output!$A$3:$V$3,Normalized_Output!$A$4:$V$43)),0)</f>
        <v>0</v>
      </c>
      <c r="L22" s="22">
        <f>IFERROR(CORREL(_xlfn.XLOOKUP(A22,Normalized_Input!$A$3:$V$3,Normalized_Input!$A$4:$V$43),_xlfn.XLOOKUP($L$2,Normalized_Output!$A$3:$V$3,Normalized_Output!$A$4:$V$43)),0)</f>
        <v>0</v>
      </c>
      <c r="M22" s="22">
        <f>IFERROR(CORREL(_xlfn.XLOOKUP(A22,Normalized_Input!$A$3:$V$3,Normalized_Input!$A$4:$V$43),_xlfn.XLOOKUP($M$2,Normalized_Output!$A$3:$V$3,Normalized_Output!$A$4:$V$43)),0)</f>
        <v>0</v>
      </c>
      <c r="N22" s="22">
        <f>IFERROR(CORREL(_xlfn.XLOOKUP(A22,Normalized_Input!$A$3:$V$3,Normalized_Input!$A$4:$V$43),_xlfn.XLOOKUP($N$2,Normalized_Output!$A$3:$V$3,Normalized_Output!$A$4:$V$43)),0)</f>
        <v>0</v>
      </c>
      <c r="O22" s="22">
        <f>IFERROR(CORREL(_xlfn.XLOOKUP(A22,Normalized_Input!$A$3:$V$3,Normalized_Input!$A$4:$V$43),_xlfn.XLOOKUP($O$2,Normalized_Output!$A$3:$V$3,Normalized_Output!$A$4:$V$43)),0)</f>
        <v>0</v>
      </c>
      <c r="P22" s="22">
        <f>IFERROR(CORREL(_xlfn.XLOOKUP(A22,Normalized_Input!$A$3:$V$3,Normalized_Input!$A$4:$V$43),_xlfn.XLOOKUP($P$2,Normalized_Output!$A$3:$V$3,Normalized_Output!$A$4:$V$43)),0)</f>
        <v>0</v>
      </c>
      <c r="Q22" s="22">
        <f>IFERROR(CORREL(_xlfn.XLOOKUP(A22,Normalized_Input!$A$3:$V$3,Normalized_Input!$A$4:$V$43),_xlfn.XLOOKUP($Q$2,Normalized_Output!$A$3:$V$3,Normalized_Output!$A$4:$V$43)),0)</f>
        <v>0</v>
      </c>
      <c r="R22" s="22">
        <f>IFERROR(CORREL(_xlfn.XLOOKUP(A22,Normalized_Input!$A$3:$V$3,Normalized_Input!$A$4:$V$43),_xlfn.XLOOKUP($R$2,Normalized_Output!$A$3:$V$3,Normalized_Output!$A$4:$V$43)),0)</f>
        <v>0</v>
      </c>
      <c r="S22" s="22">
        <f>IFERROR(CORREL(_xlfn.XLOOKUP(A22,Normalized_Input!$A$3:$V$3,Normalized_Input!$A$4:$V$43),_xlfn.XLOOKUP($S$2,Normalized_Output!$A$3:$V$3,Normalized_Output!$A$4:$V$43)),0)</f>
        <v>0</v>
      </c>
      <c r="T22" s="22">
        <f>IFERROR(CORREL(_xlfn.XLOOKUP(A22,Normalized_Input!$A$3:$V$3,Normalized_Input!$A$4:$V$43),_xlfn.XLOOKUP($T$2,Normalized_Output!$A$3:$V$3,Normalized_Output!$A$4:$V$43)),0)</f>
        <v>0</v>
      </c>
      <c r="U22" s="22">
        <f>IFERROR(CORREL(_xlfn.XLOOKUP(A22,Normalized_Input!$A$3:$V$3,Normalized_Input!$A$4:$V$43),_xlfn.XLOOKUP($U$2,Normalized_Output!$A$3:$V$3,Normalized_Output!$A$4:$V$43)),0)</f>
        <v>0</v>
      </c>
    </row>
    <row r="23" spans="1:22" x14ac:dyDescent="0.3">
      <c r="P23" s="22"/>
    </row>
  </sheetData>
  <conditionalFormatting sqref="B3:V21 B22:O22 P22:P23 Q22:U22">
    <cfRule type="colorScale" priority="1">
      <colorScale>
        <cfvo type="num" val="-1"/>
        <cfvo type="num" val="0"/>
        <cfvo type="num" val="1"/>
        <color theme="3" tint="0.39997558519241921"/>
        <color theme="0"/>
        <color rgb="FFFFEF9C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ED50-0DB9-4D2B-B13A-C93F3CA88342}">
  <sheetPr codeName="Sheet7"/>
  <dimension ref="A1:X38"/>
  <sheetViews>
    <sheetView zoomScale="85" zoomScaleNormal="85" workbookViewId="0">
      <selection activeCell="B39" sqref="B39"/>
    </sheetView>
  </sheetViews>
  <sheetFormatPr defaultColWidth="11.09765625" defaultRowHeight="15.75" customHeight="1" x14ac:dyDescent="0.3"/>
  <cols>
    <col min="3" max="4" width="17" customWidth="1"/>
    <col min="5" max="24" width="30.59765625" customWidth="1"/>
  </cols>
  <sheetData>
    <row r="1" spans="1:24" ht="15.75" customHeight="1" x14ac:dyDescent="0.3">
      <c r="A1" s="23" t="s">
        <v>185</v>
      </c>
      <c r="B1" s="167" t="s">
        <v>46</v>
      </c>
      <c r="C1" s="167" t="s">
        <v>157</v>
      </c>
      <c r="D1" s="167" t="s">
        <v>186</v>
      </c>
      <c r="E1" s="167" t="s">
        <v>44</v>
      </c>
      <c r="F1" s="167" t="s">
        <v>187</v>
      </c>
      <c r="G1" s="167" t="s">
        <v>42</v>
      </c>
      <c r="H1" s="167" t="s">
        <v>48</v>
      </c>
      <c r="I1" s="169" t="s">
        <v>49</v>
      </c>
      <c r="J1" s="169" t="s">
        <v>50</v>
      </c>
      <c r="K1" s="169" t="s">
        <v>51</v>
      </c>
      <c r="L1" s="169" t="s">
        <v>52</v>
      </c>
      <c r="M1" s="170" t="s">
        <v>158</v>
      </c>
      <c r="N1" s="167" t="s">
        <v>54</v>
      </c>
      <c r="O1" s="167" t="s">
        <v>55</v>
      </c>
      <c r="P1" s="167" t="s">
        <v>45</v>
      </c>
      <c r="Q1" s="167" t="s">
        <v>56</v>
      </c>
      <c r="R1" s="167" t="s">
        <v>57</v>
      </c>
      <c r="S1" s="167" t="s">
        <v>58</v>
      </c>
      <c r="T1" s="167" t="s">
        <v>43</v>
      </c>
      <c r="U1" s="167" t="s">
        <v>59</v>
      </c>
      <c r="V1" s="167" t="s">
        <v>60</v>
      </c>
      <c r="W1" s="167" t="s">
        <v>61</v>
      </c>
      <c r="X1" s="167" t="s">
        <v>62</v>
      </c>
    </row>
    <row r="2" spans="1:24" ht="15.75" customHeight="1" x14ac:dyDescent="0.3">
      <c r="A2" s="163">
        <v>3</v>
      </c>
      <c r="B2" s="1" t="s">
        <v>66</v>
      </c>
      <c r="C2" s="9">
        <v>0.43053151322383792</v>
      </c>
      <c r="D2" s="1">
        <f t="shared" ref="D2:D38" si="0">IF(C2&lt;AVERAGE(C:C),0,1)</f>
        <v>1</v>
      </c>
      <c r="E2" s="8">
        <v>1496.5400104391686</v>
      </c>
      <c r="F2" s="62" t="s">
        <v>188</v>
      </c>
      <c r="G2" s="2">
        <v>14201.23795490936</v>
      </c>
      <c r="H2" s="3">
        <v>9.5024003030036858E-2</v>
      </c>
      <c r="I2" s="4">
        <v>1.156225174093152</v>
      </c>
      <c r="J2" s="4">
        <v>6.480314241867017</v>
      </c>
      <c r="K2" s="4">
        <v>35.088708988640228</v>
      </c>
      <c r="L2" s="5">
        <v>3.9637339723409921</v>
      </c>
      <c r="M2" s="3">
        <v>0.22961536687006864</v>
      </c>
      <c r="N2" s="2">
        <v>147766.88571121212</v>
      </c>
      <c r="O2" s="2">
        <v>18807.975163079038</v>
      </c>
      <c r="P2" s="2">
        <v>117129.16089424651</v>
      </c>
      <c r="Q2" s="2">
        <v>5179.1205589007013</v>
      </c>
      <c r="R2" s="2">
        <v>4799.1354649111545</v>
      </c>
      <c r="S2" s="2">
        <v>340.3900075155388</v>
      </c>
      <c r="T2" s="6">
        <v>361.30558307929294</v>
      </c>
      <c r="U2" s="6">
        <v>105.2014277170625</v>
      </c>
      <c r="V2" s="7">
        <v>1.2388152717375058</v>
      </c>
      <c r="W2" s="2">
        <v>431.7911961588884</v>
      </c>
      <c r="X2" s="2">
        <v>241.42918128958777</v>
      </c>
    </row>
    <row r="3" spans="1:24" ht="15.75" customHeight="1" x14ac:dyDescent="0.3">
      <c r="A3" s="163">
        <v>11</v>
      </c>
      <c r="B3" s="166" t="s">
        <v>73</v>
      </c>
      <c r="C3" s="9">
        <v>0.44418285325844359</v>
      </c>
      <c r="D3" s="1">
        <f t="shared" si="0"/>
        <v>1</v>
      </c>
      <c r="E3" s="8">
        <v>1543.130143001342</v>
      </c>
      <c r="F3" s="62" t="s">
        <v>188</v>
      </c>
      <c r="G3" s="2">
        <v>13835.013071722193</v>
      </c>
      <c r="H3" s="3">
        <v>6.440256528277169E-2</v>
      </c>
      <c r="I3" s="4">
        <v>2.2106867872299598</v>
      </c>
      <c r="J3" s="4">
        <v>7.6978952864393806</v>
      </c>
      <c r="K3" s="4">
        <v>26.142586360046096</v>
      </c>
      <c r="L3" s="5">
        <v>6.9993292381362808</v>
      </c>
      <c r="M3" s="3">
        <v>0.96299639412580906</v>
      </c>
      <c r="N3" s="2">
        <v>121369.22354160783</v>
      </c>
      <c r="O3" s="2">
        <v>15450.260167523389</v>
      </c>
      <c r="P3" s="2">
        <v>121096.18168756743</v>
      </c>
      <c r="Q3" s="2">
        <v>12067.07794592716</v>
      </c>
      <c r="R3" s="2">
        <v>826.93977933000588</v>
      </c>
      <c r="S3" s="2">
        <v>294.36488070354307</v>
      </c>
      <c r="T3" s="6">
        <v>139.89229656171702</v>
      </c>
      <c r="U3" s="6">
        <v>50.409501363937039</v>
      </c>
      <c r="V3" s="7">
        <v>1.3381395639692875</v>
      </c>
      <c r="W3" s="2">
        <v>245.53181771115621</v>
      </c>
      <c r="X3" s="2">
        <v>154.129105692265</v>
      </c>
    </row>
    <row r="4" spans="1:24" ht="15.75" customHeight="1" x14ac:dyDescent="0.3">
      <c r="A4" s="163">
        <v>16</v>
      </c>
      <c r="B4" s="166" t="s">
        <v>78</v>
      </c>
      <c r="C4" s="9">
        <v>0.43280607748582361</v>
      </c>
      <c r="D4" s="1">
        <f t="shared" si="0"/>
        <v>1</v>
      </c>
      <c r="E4" s="8">
        <v>1581.9945153048554</v>
      </c>
      <c r="F4" s="62" t="s">
        <v>188</v>
      </c>
      <c r="G4" s="2">
        <v>13814.692332851082</v>
      </c>
      <c r="H4" s="3">
        <v>9.4188070219525633E-2</v>
      </c>
      <c r="I4" s="4">
        <v>3.0990856313022044</v>
      </c>
      <c r="J4" s="4">
        <v>16.159671543729718</v>
      </c>
      <c r="K4" s="4">
        <v>32.963684782869478</v>
      </c>
      <c r="L4" s="5">
        <v>4.7362610534256602</v>
      </c>
      <c r="M4" s="3">
        <v>0.40884494240021368</v>
      </c>
      <c r="N4" s="2">
        <v>135522.4618191325</v>
      </c>
      <c r="O4" s="2">
        <v>34718.772985982854</v>
      </c>
      <c r="P4" s="2">
        <v>109198.30143433674</v>
      </c>
      <c r="Q4" s="2">
        <v>12137.941878113284</v>
      </c>
      <c r="R4" s="2">
        <v>3433.1446086642541</v>
      </c>
      <c r="S4" s="2">
        <v>382.92462350233228</v>
      </c>
      <c r="T4" s="6">
        <v>285.67061572560317</v>
      </c>
      <c r="U4" s="6">
        <v>107.38773697004434</v>
      </c>
      <c r="V4" s="7">
        <v>1.5604547673389562</v>
      </c>
      <c r="W4" s="2">
        <v>382.69255110142365</v>
      </c>
      <c r="X4" s="2">
        <v>240.77246931035782</v>
      </c>
    </row>
    <row r="5" spans="1:24" ht="15.75" customHeight="1" x14ac:dyDescent="0.3">
      <c r="A5" s="163">
        <v>23</v>
      </c>
      <c r="B5" s="166" t="s">
        <v>83</v>
      </c>
      <c r="C5" s="9">
        <v>0.43785194084205659</v>
      </c>
      <c r="D5" s="1">
        <f t="shared" si="0"/>
        <v>1</v>
      </c>
      <c r="E5" s="8">
        <v>1538.9578651955876</v>
      </c>
      <c r="F5" s="62" t="s">
        <v>188</v>
      </c>
      <c r="G5" s="2">
        <v>13118.519325623121</v>
      </c>
      <c r="H5" s="3">
        <v>7.4374974218230569E-2</v>
      </c>
      <c r="I5" s="4">
        <v>1.7641525613787348</v>
      </c>
      <c r="J5" s="4">
        <v>4.2983287571452715</v>
      </c>
      <c r="K5" s="4">
        <v>29.422166907539836</v>
      </c>
      <c r="L5" s="5">
        <v>6.7659869490600721</v>
      </c>
      <c r="M5" s="3">
        <v>0.39769688742319875</v>
      </c>
      <c r="N5" s="2">
        <v>79657.318176471119</v>
      </c>
      <c r="O5" s="2">
        <v>13948.897813733285</v>
      </c>
      <c r="P5" s="2">
        <v>84156.506937351951</v>
      </c>
      <c r="Q5" s="2">
        <v>7343.9317476127017</v>
      </c>
      <c r="R5" s="2">
        <v>188.21746603333875</v>
      </c>
      <c r="S5" s="2">
        <v>45.273280193817151</v>
      </c>
      <c r="T5" s="6">
        <v>221.10540195649486</v>
      </c>
      <c r="U5" s="6">
        <v>91.605694207839903</v>
      </c>
      <c r="V5" s="7">
        <v>2.9929762406901945</v>
      </c>
      <c r="W5" s="2">
        <v>574.37669203456244</v>
      </c>
      <c r="X5" s="2">
        <v>354.14187612483011</v>
      </c>
    </row>
    <row r="6" spans="1:24" ht="15.75" customHeight="1" x14ac:dyDescent="0.3">
      <c r="A6" s="163">
        <v>24</v>
      </c>
      <c r="B6" s="166" t="s">
        <v>84</v>
      </c>
      <c r="C6" s="9">
        <v>0.45122770157690589</v>
      </c>
      <c r="D6" s="1">
        <f t="shared" si="0"/>
        <v>1</v>
      </c>
      <c r="E6" s="8">
        <v>1540.0653444097336</v>
      </c>
      <c r="F6" s="62" t="s">
        <v>188</v>
      </c>
      <c r="G6" s="2">
        <v>14996.46722420484</v>
      </c>
      <c r="H6" s="3">
        <v>8.2015471937170931E-2</v>
      </c>
      <c r="I6" s="4">
        <v>1.0472543691384031</v>
      </c>
      <c r="J6" s="4">
        <v>7.1338200110978036</v>
      </c>
      <c r="K6" s="4">
        <v>24.978611012521007</v>
      </c>
      <c r="L6" s="5">
        <v>4.8447979773547551</v>
      </c>
      <c r="M6" s="3" t="s">
        <v>65</v>
      </c>
      <c r="N6" s="2">
        <v>112986.16240456018</v>
      </c>
      <c r="O6" s="2">
        <v>8959.3033097208172</v>
      </c>
      <c r="P6" s="2">
        <v>118464.68672768491</v>
      </c>
      <c r="Q6" s="2">
        <v>4130.4285130653825</v>
      </c>
      <c r="R6" s="2">
        <v>39473.111333165376</v>
      </c>
      <c r="S6" s="2">
        <v>433.78531976127488</v>
      </c>
      <c r="T6" s="6">
        <v>277.66902672687809</v>
      </c>
      <c r="U6" s="6">
        <v>133.6677925318921</v>
      </c>
      <c r="V6" s="7">
        <v>1.1123138167123465</v>
      </c>
      <c r="W6" s="2">
        <v>368.08825884760677</v>
      </c>
      <c r="X6" s="2">
        <v>207.71173015583</v>
      </c>
    </row>
    <row r="7" spans="1:24" ht="15.75" customHeight="1" x14ac:dyDescent="0.3">
      <c r="A7" s="163">
        <v>28</v>
      </c>
      <c r="B7" s="166" t="s">
        <v>88</v>
      </c>
      <c r="C7" s="9">
        <v>0.46792321308883378</v>
      </c>
      <c r="D7" s="1">
        <f t="shared" si="0"/>
        <v>1</v>
      </c>
      <c r="E7" s="8">
        <v>1477.0929263948281</v>
      </c>
      <c r="F7" s="62" t="s">
        <v>188</v>
      </c>
      <c r="G7" s="2">
        <v>13691.167650458188</v>
      </c>
      <c r="H7" s="3">
        <v>7.1962538356044756E-2</v>
      </c>
      <c r="I7" s="4">
        <v>2.7362975552136262</v>
      </c>
      <c r="J7" s="4">
        <v>10.141899205986599</v>
      </c>
      <c r="K7" s="4">
        <v>27.361468155686524</v>
      </c>
      <c r="L7" s="5">
        <v>2.02141207209415</v>
      </c>
      <c r="M7" s="3">
        <v>1.084806635682767</v>
      </c>
      <c r="N7" s="2">
        <v>98189.220860870802</v>
      </c>
      <c r="O7" s="2">
        <v>20366.449916912559</v>
      </c>
      <c r="P7" s="2">
        <v>137242.16054792239</v>
      </c>
      <c r="Q7" s="2">
        <v>11810.666644880419</v>
      </c>
      <c r="R7" s="2">
        <v>19435.30746687538</v>
      </c>
      <c r="S7" s="2">
        <v>3352.2883600629084</v>
      </c>
      <c r="T7" s="6">
        <v>346.13338839179994</v>
      </c>
      <c r="U7" s="6">
        <v>71.427507094925573</v>
      </c>
      <c r="V7" s="7">
        <v>0.98364474087481724</v>
      </c>
      <c r="W7" s="2">
        <v>62.773392182899201</v>
      </c>
      <c r="X7" s="2">
        <v>33.134158827172868</v>
      </c>
    </row>
    <row r="8" spans="1:24" ht="15.75" customHeight="1" x14ac:dyDescent="0.3">
      <c r="A8" s="163">
        <v>37</v>
      </c>
      <c r="B8" s="166" t="s">
        <v>97</v>
      </c>
      <c r="C8" s="9">
        <v>0.46503049816055836</v>
      </c>
      <c r="D8" s="1">
        <f t="shared" si="0"/>
        <v>1</v>
      </c>
      <c r="E8" s="8">
        <v>1476.1021500887864</v>
      </c>
      <c r="F8" s="62" t="s">
        <v>188</v>
      </c>
      <c r="G8" s="2">
        <v>16667.597709999853</v>
      </c>
      <c r="H8" s="3">
        <v>7.391625602514873E-2</v>
      </c>
      <c r="I8" s="4">
        <v>1.9987570555685874</v>
      </c>
      <c r="J8" s="4">
        <v>12.140663131931603</v>
      </c>
      <c r="K8" s="4">
        <v>29.518270170808854</v>
      </c>
      <c r="L8" s="5">
        <v>2.8725581353840441</v>
      </c>
      <c r="M8" s="3">
        <v>0.34628541040012822</v>
      </c>
      <c r="N8" s="2">
        <v>179034.03277100634</v>
      </c>
      <c r="O8" s="2">
        <v>31682.21188316671</v>
      </c>
      <c r="P8" s="2">
        <v>148288.37601287768</v>
      </c>
      <c r="Q8" s="2">
        <v>13562.442801231638</v>
      </c>
      <c r="R8" s="2">
        <v>1745.7909185894623</v>
      </c>
      <c r="S8" s="2">
        <v>159.70002866654309</v>
      </c>
      <c r="T8" s="6">
        <v>373.85537442078197</v>
      </c>
      <c r="U8" s="6">
        <v>146.5543246975808</v>
      </c>
      <c r="V8" s="7">
        <v>1.5543380589129157</v>
      </c>
      <c r="W8" s="2">
        <v>404.36290176052881</v>
      </c>
      <c r="X8" s="2">
        <v>277.40407277245487</v>
      </c>
    </row>
    <row r="9" spans="1:24" ht="15.75" customHeight="1" x14ac:dyDescent="0.3">
      <c r="A9" s="163">
        <v>8</v>
      </c>
      <c r="B9" s="166" t="s">
        <v>27</v>
      </c>
      <c r="C9" s="9">
        <v>0.44314805386162148</v>
      </c>
      <c r="D9" s="1">
        <f t="shared" si="0"/>
        <v>1</v>
      </c>
      <c r="E9" s="8">
        <v>1463.2495395004203</v>
      </c>
      <c r="F9" s="62" t="s">
        <v>18</v>
      </c>
      <c r="G9" s="2">
        <v>8898.3562478568801</v>
      </c>
      <c r="H9" s="3">
        <v>7.9042373553420572E-2</v>
      </c>
      <c r="I9" s="4">
        <v>0.29109498833817982</v>
      </c>
      <c r="J9" s="4">
        <v>6.994109046852329</v>
      </c>
      <c r="K9" s="4">
        <v>26.87114984860219</v>
      </c>
      <c r="L9" s="5">
        <v>3.233499317703687</v>
      </c>
      <c r="M9" s="3">
        <v>0.30987692995021276</v>
      </c>
      <c r="N9" s="2">
        <v>92719.720550985861</v>
      </c>
      <c r="O9" s="2">
        <v>14998.125635205677</v>
      </c>
      <c r="P9" s="2">
        <v>73110.389833408321</v>
      </c>
      <c r="Q9" s="2">
        <v>5603.147860128397</v>
      </c>
      <c r="R9" s="2">
        <v>34490.292858833578</v>
      </c>
      <c r="S9" s="2">
        <v>1436.6015373105145</v>
      </c>
      <c r="T9" s="6">
        <v>265.43938796482155</v>
      </c>
      <c r="U9" s="6">
        <v>93.101465282901543</v>
      </c>
      <c r="V9" s="7">
        <v>1.2047657720091531</v>
      </c>
      <c r="W9" s="2">
        <v>143.13228054309161</v>
      </c>
      <c r="X9" s="2">
        <v>83.177760110158459</v>
      </c>
    </row>
    <row r="10" spans="1:24" ht="15.75" customHeight="1" x14ac:dyDescent="0.3">
      <c r="A10" s="163">
        <v>10</v>
      </c>
      <c r="B10" s="166" t="s">
        <v>72</v>
      </c>
      <c r="C10" s="9">
        <v>0.42870825960644365</v>
      </c>
      <c r="D10" s="1">
        <f t="shared" si="0"/>
        <v>1</v>
      </c>
      <c r="E10" s="8">
        <v>1545.9886457675468</v>
      </c>
      <c r="F10" s="62" t="s">
        <v>18</v>
      </c>
      <c r="G10" s="2">
        <v>7603.1600904970328</v>
      </c>
      <c r="H10" s="3">
        <v>7.1834561451956824E-2</v>
      </c>
      <c r="I10" s="4">
        <v>1.919876232639639</v>
      </c>
      <c r="J10" s="4">
        <v>10.623099272066508</v>
      </c>
      <c r="K10" s="4">
        <v>27.853482968948381</v>
      </c>
      <c r="L10" s="5">
        <v>2.9856404586983181</v>
      </c>
      <c r="M10" s="3">
        <v>0.18681481775843531</v>
      </c>
      <c r="N10" s="2">
        <v>63668.552938072324</v>
      </c>
      <c r="O10" s="2">
        <v>2305.0053497429753</v>
      </c>
      <c r="P10" s="2">
        <v>66839.089557020372</v>
      </c>
      <c r="Q10" s="2">
        <v>1588.4735293438393</v>
      </c>
      <c r="R10" s="2">
        <v>11424.275006297594</v>
      </c>
      <c r="S10" s="2">
        <v>1360.4521055165101</v>
      </c>
      <c r="T10" s="6">
        <v>88.330703562953232</v>
      </c>
      <c r="U10" s="6">
        <v>36.391398934855388</v>
      </c>
      <c r="V10" s="7">
        <v>0.39042938300758284</v>
      </c>
      <c r="W10" s="2">
        <v>40.7301702762554</v>
      </c>
      <c r="X10" s="2">
        <v>24.473594802571746</v>
      </c>
    </row>
    <row r="11" spans="1:24" ht="15.75" customHeight="1" x14ac:dyDescent="0.3">
      <c r="A11" s="163">
        <v>18</v>
      </c>
      <c r="B11" s="166" t="s">
        <v>29</v>
      </c>
      <c r="C11" s="9">
        <v>0.4460675128620315</v>
      </c>
      <c r="D11" s="1">
        <f t="shared" si="0"/>
        <v>1</v>
      </c>
      <c r="E11" s="8">
        <v>1564.332759418515</v>
      </c>
      <c r="F11" s="62" t="s">
        <v>18</v>
      </c>
      <c r="G11" s="2">
        <v>9291.8729619525839</v>
      </c>
      <c r="H11" s="3">
        <v>7.4626615390460657E-2</v>
      </c>
      <c r="I11" s="4">
        <v>3.1142700132462164</v>
      </c>
      <c r="J11" s="4">
        <v>4.5801944040405207</v>
      </c>
      <c r="K11" s="4">
        <v>12.760673266833575</v>
      </c>
      <c r="L11" s="5">
        <v>1.5308747305609538</v>
      </c>
      <c r="M11" s="3">
        <v>0.20193644609214195</v>
      </c>
      <c r="N11" s="2">
        <v>99230.745322473696</v>
      </c>
      <c r="O11" s="2">
        <v>15125.858513062894</v>
      </c>
      <c r="P11" s="2">
        <v>86466.088970960147</v>
      </c>
      <c r="Q11" s="2">
        <v>3920.8454642632837</v>
      </c>
      <c r="R11" s="2">
        <v>19691.831045216877</v>
      </c>
      <c r="S11" s="2">
        <v>272.61818336155409</v>
      </c>
      <c r="T11" s="6">
        <v>410.58181666261288</v>
      </c>
      <c r="U11" s="6">
        <v>250.52300278751096</v>
      </c>
      <c r="V11" s="7">
        <v>1.0888957544491238</v>
      </c>
      <c r="W11" s="2">
        <v>160.13259179900675</v>
      </c>
      <c r="X11" s="2">
        <v>80.966566785192413</v>
      </c>
    </row>
    <row r="12" spans="1:24" ht="15.75" customHeight="1" x14ac:dyDescent="0.3">
      <c r="A12" s="163">
        <v>22</v>
      </c>
      <c r="B12" s="166" t="s">
        <v>28</v>
      </c>
      <c r="C12" s="9">
        <v>0.43263464581620215</v>
      </c>
      <c r="D12" s="1">
        <f t="shared" si="0"/>
        <v>1</v>
      </c>
      <c r="E12" s="8">
        <v>1579.4468608353577</v>
      </c>
      <c r="F12" s="62" t="s">
        <v>18</v>
      </c>
      <c r="G12" s="2">
        <v>9624.2355048201262</v>
      </c>
      <c r="H12" s="3">
        <v>5.95140169688484E-2</v>
      </c>
      <c r="I12" s="4">
        <v>1.8416301920250242</v>
      </c>
      <c r="J12" s="4">
        <v>12.35512738951306</v>
      </c>
      <c r="K12" s="4">
        <v>15.637257638036971</v>
      </c>
      <c r="L12" s="5">
        <v>5.1474121081754305</v>
      </c>
      <c r="M12" s="3">
        <v>0.28574387642280141</v>
      </c>
      <c r="N12" s="2">
        <v>64417.700332574925</v>
      </c>
      <c r="O12" s="2">
        <v>8802.0772283520855</v>
      </c>
      <c r="P12" s="2">
        <v>61120.91064140846</v>
      </c>
      <c r="Q12" s="2">
        <v>6904.1688661417138</v>
      </c>
      <c r="R12" s="2">
        <v>188.70728056130702</v>
      </c>
      <c r="S12" s="2">
        <v>77.325412858446512</v>
      </c>
      <c r="T12" s="6">
        <v>72.583164734953812</v>
      </c>
      <c r="U12" s="6">
        <v>16.898171752359897</v>
      </c>
      <c r="V12" s="7">
        <v>1.2847495211576889</v>
      </c>
      <c r="W12" s="2">
        <v>445.34001044785339</v>
      </c>
      <c r="X12" s="2">
        <v>209.43930867197878</v>
      </c>
    </row>
    <row r="13" spans="1:24" ht="15.75" customHeight="1" x14ac:dyDescent="0.3">
      <c r="A13" s="163">
        <v>30</v>
      </c>
      <c r="B13" s="166" t="s">
        <v>90</v>
      </c>
      <c r="C13" s="9">
        <v>0.42763306341589841</v>
      </c>
      <c r="D13" s="1">
        <f t="shared" si="0"/>
        <v>1</v>
      </c>
      <c r="E13" s="8">
        <v>1506.4383974170255</v>
      </c>
      <c r="F13" s="62" t="s">
        <v>18</v>
      </c>
      <c r="G13" s="2">
        <v>7779.0987949738883</v>
      </c>
      <c r="H13" s="3">
        <v>8.7014362383486143E-2</v>
      </c>
      <c r="I13" s="4">
        <v>3.9989743040397858</v>
      </c>
      <c r="J13" s="4">
        <v>7.5454424130104387</v>
      </c>
      <c r="K13" s="4">
        <v>23.560685038601612</v>
      </c>
      <c r="L13" s="5">
        <v>3.1761723017606149</v>
      </c>
      <c r="M13" s="3">
        <v>0.33408041360549118</v>
      </c>
      <c r="N13" s="2">
        <v>119829.18142069246</v>
      </c>
      <c r="O13" s="2">
        <v>11873.643495995613</v>
      </c>
      <c r="P13" s="2">
        <v>63365.980453142794</v>
      </c>
      <c r="Q13" s="2">
        <v>3067.2455238920538</v>
      </c>
      <c r="R13" s="2">
        <v>26369.847535152294</v>
      </c>
      <c r="S13" s="2">
        <v>1668.7044776904081</v>
      </c>
      <c r="T13" s="6">
        <v>110.73371560327887</v>
      </c>
      <c r="U13" s="6">
        <v>60.622461502239581</v>
      </c>
      <c r="V13" s="7">
        <v>1.0760615584139701</v>
      </c>
      <c r="W13" s="2">
        <v>195.81104862167564</v>
      </c>
      <c r="X13" s="2">
        <v>117.81009875079803</v>
      </c>
    </row>
    <row r="14" spans="1:24" ht="15.75" customHeight="1" x14ac:dyDescent="0.3">
      <c r="A14" s="163">
        <v>1</v>
      </c>
      <c r="B14" s="166" t="s">
        <v>63</v>
      </c>
      <c r="C14" s="9">
        <v>0.45106878113553345</v>
      </c>
      <c r="D14" s="1">
        <f t="shared" si="0"/>
        <v>1</v>
      </c>
      <c r="E14" s="8">
        <v>1543.6646920397291</v>
      </c>
      <c r="F14" s="62" t="s">
        <v>16</v>
      </c>
      <c r="G14" s="2">
        <v>4905.8715227322646</v>
      </c>
      <c r="H14" s="3">
        <v>7.7398146858595279E-2</v>
      </c>
      <c r="I14" s="4">
        <v>2.1804334790082085</v>
      </c>
      <c r="J14" s="4">
        <v>3.5338629850600847</v>
      </c>
      <c r="K14" s="4">
        <v>25.010698272645055</v>
      </c>
      <c r="L14" s="5">
        <v>2.6104596448151174</v>
      </c>
      <c r="M14" s="3">
        <v>0.32798236630400579</v>
      </c>
      <c r="N14" s="2">
        <v>40506.897369497121</v>
      </c>
      <c r="O14" s="2">
        <v>6120.4795221479308</v>
      </c>
      <c r="P14" s="2">
        <v>38813.762175593962</v>
      </c>
      <c r="Q14" s="2">
        <v>2727.9783390794573</v>
      </c>
      <c r="R14" s="2">
        <v>25008.985930370491</v>
      </c>
      <c r="S14" s="2">
        <v>1557.4538841779508</v>
      </c>
      <c r="T14" s="6">
        <v>132.5895687915615</v>
      </c>
      <c r="U14" s="6">
        <v>42.752137845789882</v>
      </c>
      <c r="V14" s="7">
        <v>1.03370281492507</v>
      </c>
      <c r="W14" s="2">
        <v>94.658579605533234</v>
      </c>
      <c r="X14" s="2">
        <v>45.655623421388697</v>
      </c>
    </row>
    <row r="15" spans="1:24" ht="15.75" customHeight="1" x14ac:dyDescent="0.3">
      <c r="A15" s="163">
        <v>7</v>
      </c>
      <c r="B15" s="166" t="s">
        <v>70</v>
      </c>
      <c r="C15" s="9">
        <v>0.44693473555504554</v>
      </c>
      <c r="D15" s="1">
        <f t="shared" si="0"/>
        <v>1</v>
      </c>
      <c r="E15" s="8">
        <v>1503.8744215775203</v>
      </c>
      <c r="F15" s="62" t="s">
        <v>16</v>
      </c>
      <c r="G15" s="2">
        <v>6189.3487510779296</v>
      </c>
      <c r="H15" s="3">
        <v>6.4923365687727427E-2</v>
      </c>
      <c r="I15" s="4">
        <v>1.9542462081318697</v>
      </c>
      <c r="J15" s="4">
        <v>6.3332520703184318</v>
      </c>
      <c r="K15" s="4">
        <v>21.981137365110939</v>
      </c>
      <c r="L15" s="5">
        <v>2.1062563398377043</v>
      </c>
      <c r="M15" s="3">
        <v>0.22687722120762993</v>
      </c>
      <c r="N15" s="2">
        <v>61786.626257764103</v>
      </c>
      <c r="O15" s="2">
        <v>7117.1030831971193</v>
      </c>
      <c r="P15" s="2">
        <v>51990.778840808489</v>
      </c>
      <c r="Q15" s="2">
        <v>1568.6440973203535</v>
      </c>
      <c r="R15" s="2">
        <v>4168.0842903426237</v>
      </c>
      <c r="S15" s="2">
        <v>0</v>
      </c>
      <c r="T15" s="6">
        <v>0</v>
      </c>
      <c r="U15" s="6">
        <v>0</v>
      </c>
      <c r="V15" s="7">
        <v>1.1712438377554515</v>
      </c>
      <c r="W15" s="2">
        <v>38.370818414707081</v>
      </c>
      <c r="X15" s="2">
        <v>19.777190691450734</v>
      </c>
    </row>
    <row r="16" spans="1:24" ht="15.75" customHeight="1" x14ac:dyDescent="0.3">
      <c r="A16" s="163">
        <v>9</v>
      </c>
      <c r="B16" s="166" t="s">
        <v>71</v>
      </c>
      <c r="C16" s="9">
        <v>0.4510429024784367</v>
      </c>
      <c r="D16" s="1">
        <f t="shared" si="0"/>
        <v>1</v>
      </c>
      <c r="E16" s="8">
        <v>1566.6797750272165</v>
      </c>
      <c r="F16" s="62" t="s">
        <v>16</v>
      </c>
      <c r="G16" s="2">
        <v>6303.0946744546973</v>
      </c>
      <c r="H16" s="3">
        <v>7.9701550783891767E-2</v>
      </c>
      <c r="I16" s="4">
        <v>0.41237216671929483</v>
      </c>
      <c r="J16" s="4">
        <v>17.793555103909178</v>
      </c>
      <c r="K16" s="4">
        <v>13.875753087244354</v>
      </c>
      <c r="L16" s="5">
        <v>4.0198439616156554</v>
      </c>
      <c r="M16" s="3">
        <v>0.26040987596753284</v>
      </c>
      <c r="N16" s="2">
        <v>61969.423089745796</v>
      </c>
      <c r="O16" s="2">
        <v>21618.724454117499</v>
      </c>
      <c r="P16" s="2">
        <v>46479.470835616608</v>
      </c>
      <c r="Q16" s="2">
        <v>7706.0176369921428</v>
      </c>
      <c r="R16" s="2">
        <v>1579.9319998827605</v>
      </c>
      <c r="S16" s="2">
        <v>950.10549739908856</v>
      </c>
      <c r="T16" s="6">
        <v>144.92393177833648</v>
      </c>
      <c r="U16" s="6">
        <v>81.904382248364001</v>
      </c>
      <c r="V16" s="7">
        <v>3.8349194110704938</v>
      </c>
      <c r="W16" s="2">
        <v>215.54262563220843</v>
      </c>
      <c r="X16" s="2">
        <v>169.17970215525347</v>
      </c>
    </row>
    <row r="17" spans="1:24" ht="15.75" customHeight="1" x14ac:dyDescent="0.3">
      <c r="A17" s="163">
        <v>19</v>
      </c>
      <c r="B17" s="166" t="s">
        <v>80</v>
      </c>
      <c r="C17" s="9">
        <v>0.43037198049534353</v>
      </c>
      <c r="D17" s="1">
        <f t="shared" si="0"/>
        <v>1</v>
      </c>
      <c r="E17" s="8">
        <v>1533.136775465244</v>
      </c>
      <c r="F17" s="62" t="s">
        <v>16</v>
      </c>
      <c r="G17" s="2">
        <v>2992.3960196394682</v>
      </c>
      <c r="H17" s="3">
        <v>2.0714460110426327E-3</v>
      </c>
      <c r="I17" s="4">
        <v>0</v>
      </c>
      <c r="J17" s="4">
        <v>0</v>
      </c>
      <c r="K17" s="4">
        <v>12.619827515848527</v>
      </c>
      <c r="L17" s="5">
        <v>0</v>
      </c>
      <c r="M17" s="3">
        <v>0.23193032243072781</v>
      </c>
      <c r="N17" s="2">
        <v>1207.3246711779541</v>
      </c>
      <c r="O17" s="2">
        <v>0</v>
      </c>
      <c r="P17" s="2">
        <v>6707.1119459735046</v>
      </c>
      <c r="Q17" s="2">
        <v>89.077413869729682</v>
      </c>
      <c r="R17" s="2">
        <v>597.38364753969358</v>
      </c>
      <c r="S17" s="2">
        <v>365.84389322494587</v>
      </c>
      <c r="T17" s="6">
        <v>0</v>
      </c>
      <c r="U17" s="6">
        <v>0</v>
      </c>
      <c r="V17" s="7">
        <v>1.7314953164410252</v>
      </c>
      <c r="W17" s="2">
        <v>111.14766299610518</v>
      </c>
      <c r="X17" s="2">
        <v>36.901447966707948</v>
      </c>
    </row>
    <row r="18" spans="1:24" ht="15.75" customHeight="1" x14ac:dyDescent="0.3">
      <c r="A18" s="163">
        <v>27</v>
      </c>
      <c r="B18" s="166" t="s">
        <v>87</v>
      </c>
      <c r="C18" s="9">
        <v>0.46548545309375511</v>
      </c>
      <c r="D18" s="1">
        <f t="shared" si="0"/>
        <v>1</v>
      </c>
      <c r="E18" s="8">
        <v>1584.3486577548758</v>
      </c>
      <c r="F18" s="62" t="s">
        <v>16</v>
      </c>
      <c r="G18" s="2">
        <v>7151.246443734909</v>
      </c>
      <c r="H18" s="3">
        <v>8.7504147151021977E-2</v>
      </c>
      <c r="I18" s="4">
        <v>1.5348090594510575</v>
      </c>
      <c r="J18" s="4">
        <v>4.9685463594525112</v>
      </c>
      <c r="K18" s="4">
        <v>17.414912023224719</v>
      </c>
      <c r="L18" s="5">
        <v>5.6190879989231961</v>
      </c>
      <c r="M18" s="3">
        <v>0.29606267135069259</v>
      </c>
      <c r="N18" s="2">
        <v>74493.556400467889</v>
      </c>
      <c r="O18" s="2">
        <v>15622.35945343666</v>
      </c>
      <c r="P18" s="2">
        <v>64475.689374190471</v>
      </c>
      <c r="Q18" s="2">
        <v>5230.1673756026175</v>
      </c>
      <c r="R18" s="2">
        <v>397.07531552813305</v>
      </c>
      <c r="S18" s="2">
        <v>71.009259436590284</v>
      </c>
      <c r="T18" s="6">
        <v>173.72442402452526</v>
      </c>
      <c r="U18" s="6">
        <v>77.521952554607211</v>
      </c>
      <c r="V18" s="7">
        <v>5.6813994486795796</v>
      </c>
      <c r="W18" s="2">
        <v>772.44387076205589</v>
      </c>
      <c r="X18" s="2">
        <v>607.3098332800505</v>
      </c>
    </row>
    <row r="19" spans="1:24" ht="15.75" customHeight="1" x14ac:dyDescent="0.3">
      <c r="A19" s="163">
        <v>32</v>
      </c>
      <c r="B19" s="166" t="s">
        <v>92</v>
      </c>
      <c r="C19" s="9">
        <v>0.46743158167887983</v>
      </c>
      <c r="D19" s="1">
        <f t="shared" si="0"/>
        <v>1</v>
      </c>
      <c r="E19" s="8">
        <v>1527.643155211239</v>
      </c>
      <c r="F19" s="62" t="s">
        <v>16</v>
      </c>
      <c r="G19" s="2">
        <v>6730.2161755300667</v>
      </c>
      <c r="H19" s="3">
        <v>6.4718186807462469E-2</v>
      </c>
      <c r="I19" s="4">
        <v>4.8847726996480594</v>
      </c>
      <c r="J19" s="4">
        <v>7.6600756666012044</v>
      </c>
      <c r="K19" s="4">
        <v>20.323529135525554</v>
      </c>
      <c r="L19" s="5">
        <v>2.3623622429204869</v>
      </c>
      <c r="M19" s="3">
        <v>0.22268763185417395</v>
      </c>
      <c r="N19" s="2">
        <v>78538.147078407812</v>
      </c>
      <c r="O19" s="2">
        <v>26163.262784657381</v>
      </c>
      <c r="P19" s="2">
        <v>57920.998596171819</v>
      </c>
      <c r="Q19" s="2">
        <v>7760.1376616265507</v>
      </c>
      <c r="R19" s="2">
        <v>6699.0479365288775</v>
      </c>
      <c r="S19" s="2">
        <v>1605.487442384672</v>
      </c>
      <c r="T19" s="6">
        <v>120.23581026913766</v>
      </c>
      <c r="U19" s="6">
        <v>43.175849910904347</v>
      </c>
      <c r="V19" s="7">
        <v>0.99234676966958157</v>
      </c>
      <c r="W19" s="2">
        <v>163.83943671668527</v>
      </c>
      <c r="X19" s="2">
        <v>108.36699978916916</v>
      </c>
    </row>
    <row r="20" spans="1:24" ht="15.75" customHeight="1" x14ac:dyDescent="0.3">
      <c r="A20" s="163">
        <v>5</v>
      </c>
      <c r="B20" s="166" t="s">
        <v>68</v>
      </c>
      <c r="C20" s="9">
        <v>0.19805403614825118</v>
      </c>
      <c r="D20" s="1">
        <f t="shared" si="0"/>
        <v>0</v>
      </c>
      <c r="E20" s="8">
        <v>1112.77459307856</v>
      </c>
      <c r="F20" s="62" t="s">
        <v>188</v>
      </c>
      <c r="G20" s="2">
        <v>8245.7382661362099</v>
      </c>
      <c r="H20" s="3">
        <v>6.7367526450994572E-2</v>
      </c>
      <c r="I20" s="4">
        <v>1.6076936165899669</v>
      </c>
      <c r="J20" s="4">
        <v>8.5624114246583787</v>
      </c>
      <c r="K20" s="4">
        <v>18.214561238977694</v>
      </c>
      <c r="L20" s="5">
        <v>2.9768641132181282</v>
      </c>
      <c r="M20" s="3">
        <v>0.29815592265955021</v>
      </c>
      <c r="N20" s="2">
        <v>123880.65341485252</v>
      </c>
      <c r="O20" s="2">
        <v>14626.269349176233</v>
      </c>
      <c r="P20" s="2">
        <v>48005.22037165839</v>
      </c>
      <c r="Q20" s="2">
        <v>4881.4469107790192</v>
      </c>
      <c r="R20" s="2">
        <v>5221.0480762916668</v>
      </c>
      <c r="S20" s="2">
        <v>141.38380817064365</v>
      </c>
      <c r="T20" s="6">
        <v>263.83079194436544</v>
      </c>
      <c r="U20" s="6">
        <v>109.71128044037862</v>
      </c>
      <c r="V20" s="7">
        <v>4.1119793795157076</v>
      </c>
      <c r="W20" s="2">
        <v>1094.4688107678758</v>
      </c>
      <c r="X20" s="2">
        <v>755.68446898847117</v>
      </c>
    </row>
    <row r="21" spans="1:24" ht="15.75" customHeight="1" x14ac:dyDescent="0.3">
      <c r="A21" s="163">
        <v>14</v>
      </c>
      <c r="B21" s="166" t="s">
        <v>76</v>
      </c>
      <c r="C21" s="9">
        <v>0.19038165815421354</v>
      </c>
      <c r="D21" s="1">
        <f t="shared" si="0"/>
        <v>0</v>
      </c>
      <c r="E21" s="8">
        <v>1104.8261949759697</v>
      </c>
      <c r="F21" s="62" t="s">
        <v>188</v>
      </c>
      <c r="G21" s="2">
        <v>9613.9982070311125</v>
      </c>
      <c r="H21" s="3">
        <v>8.5015690308577335E-2</v>
      </c>
      <c r="I21" s="4">
        <v>1.1399527565068823</v>
      </c>
      <c r="J21" s="4">
        <v>5.4118006055844745</v>
      </c>
      <c r="K21" s="4">
        <v>20.428384806890467</v>
      </c>
      <c r="L21" s="5">
        <v>1.6600488859305489</v>
      </c>
      <c r="M21" s="3">
        <v>0.22914320389024975</v>
      </c>
      <c r="N21" s="2">
        <v>79401.36053415155</v>
      </c>
      <c r="O21" s="2">
        <v>17418.762685074696</v>
      </c>
      <c r="P21" s="2">
        <v>63528.313206223524</v>
      </c>
      <c r="Q21" s="2">
        <v>5212.0058103679439</v>
      </c>
      <c r="R21" s="2">
        <v>241.16985519715291</v>
      </c>
      <c r="S21" s="2">
        <v>42.191469159453753</v>
      </c>
      <c r="T21" s="6">
        <v>170.07518339830216</v>
      </c>
      <c r="U21" s="6">
        <v>26.843194935564881</v>
      </c>
      <c r="V21" s="7">
        <v>2.2604189350500761</v>
      </c>
      <c r="W21" s="2">
        <v>325.47077627499004</v>
      </c>
      <c r="X21" s="2">
        <v>226.24617248399267</v>
      </c>
    </row>
    <row r="22" spans="1:24" ht="15.75" customHeight="1" x14ac:dyDescent="0.3">
      <c r="A22" s="163">
        <v>25</v>
      </c>
      <c r="B22" s="166" t="s">
        <v>85</v>
      </c>
      <c r="C22" s="9">
        <v>0.20043465871250746</v>
      </c>
      <c r="D22" s="1">
        <f t="shared" si="0"/>
        <v>0</v>
      </c>
      <c r="E22" s="8">
        <v>1107.1285194038619</v>
      </c>
      <c r="F22" s="62" t="s">
        <v>188</v>
      </c>
      <c r="G22" s="2">
        <v>7661.7998353502044</v>
      </c>
      <c r="H22" s="3">
        <v>8.9682176744641184E-2</v>
      </c>
      <c r="I22" s="4">
        <v>2.0060954125811836</v>
      </c>
      <c r="J22" s="4">
        <v>7.7669836648223587</v>
      </c>
      <c r="K22" s="4">
        <v>9.8492287569880261</v>
      </c>
      <c r="L22" s="5">
        <v>2.1112612869697736</v>
      </c>
      <c r="M22" s="3">
        <v>0.33344693663405878</v>
      </c>
      <c r="N22" s="2">
        <v>95569.701773045294</v>
      </c>
      <c r="O22" s="2">
        <v>10086.311301212774</v>
      </c>
      <c r="P22" s="2">
        <v>44565.984445922033</v>
      </c>
      <c r="Q22" s="2">
        <v>2178.8549155388723</v>
      </c>
      <c r="R22" s="2">
        <v>16816.911870098618</v>
      </c>
      <c r="S22" s="2">
        <v>486.24875288542768</v>
      </c>
      <c r="T22" s="6">
        <v>317.98848134938123</v>
      </c>
      <c r="U22" s="6">
        <v>142.52169507119976</v>
      </c>
      <c r="V22" s="7">
        <v>2.8260432414205643</v>
      </c>
      <c r="W22" s="2">
        <v>265.55674977708304</v>
      </c>
      <c r="X22" s="2">
        <v>189.23055167909979</v>
      </c>
    </row>
    <row r="23" spans="1:24" ht="15.75" customHeight="1" x14ac:dyDescent="0.3">
      <c r="A23" s="163">
        <v>26</v>
      </c>
      <c r="B23" s="166" t="s">
        <v>86</v>
      </c>
      <c r="C23" s="9">
        <v>0.19828239259021022</v>
      </c>
      <c r="D23" s="1">
        <f t="shared" si="0"/>
        <v>0</v>
      </c>
      <c r="E23" s="8">
        <v>1067.8681746651475</v>
      </c>
      <c r="F23" s="62" t="s">
        <v>188</v>
      </c>
      <c r="G23" s="2">
        <v>7412.9333915440448</v>
      </c>
      <c r="H23" s="3">
        <v>8.4402452939959224E-2</v>
      </c>
      <c r="I23" s="4">
        <v>2.7894336460774318</v>
      </c>
      <c r="J23" s="4">
        <v>9.7399304982965358</v>
      </c>
      <c r="K23" s="4">
        <v>15.002767321400281</v>
      </c>
      <c r="L23" s="5">
        <v>1.8086168906657265</v>
      </c>
      <c r="M23" s="3">
        <v>0.19993664458155244</v>
      </c>
      <c r="N23" s="2">
        <v>84271.327462561778</v>
      </c>
      <c r="O23" s="2">
        <v>23353.495008264992</v>
      </c>
      <c r="P23" s="2">
        <v>49993.383161273174</v>
      </c>
      <c r="Q23" s="2">
        <v>8806.7850618557932</v>
      </c>
      <c r="R23" s="2">
        <v>1740.5060348888364</v>
      </c>
      <c r="S23" s="2">
        <v>919.55907205799144</v>
      </c>
      <c r="T23" s="6">
        <v>166.76248300578357</v>
      </c>
      <c r="U23" s="6">
        <v>105.53235541779544</v>
      </c>
      <c r="V23" s="7">
        <v>0.79309305752638803</v>
      </c>
      <c r="W23" s="2">
        <v>88.598054284923933</v>
      </c>
      <c r="X23" s="2">
        <v>58.846989494817784</v>
      </c>
    </row>
    <row r="24" spans="1:24" ht="15.75" customHeight="1" x14ac:dyDescent="0.3">
      <c r="A24" s="163">
        <v>31</v>
      </c>
      <c r="B24" s="166" t="s">
        <v>91</v>
      </c>
      <c r="C24" s="9">
        <v>0.19146211096505816</v>
      </c>
      <c r="D24" s="1">
        <f t="shared" si="0"/>
        <v>0</v>
      </c>
      <c r="E24" s="8">
        <v>1026.8000847345529</v>
      </c>
      <c r="F24" s="62" t="s">
        <v>188</v>
      </c>
      <c r="G24" s="2">
        <v>8101.4412057332684</v>
      </c>
      <c r="H24" s="3">
        <v>7.0839547089603133E-2</v>
      </c>
      <c r="I24" s="4">
        <v>1.3213223078580338</v>
      </c>
      <c r="J24" s="4">
        <v>9.696027221258257</v>
      </c>
      <c r="K24" s="4">
        <v>14.762608469324242</v>
      </c>
      <c r="L24" s="5">
        <v>1.5356783393655868</v>
      </c>
      <c r="M24" s="3">
        <v>0.32146497601859886</v>
      </c>
      <c r="N24" s="2">
        <v>128177.71867014685</v>
      </c>
      <c r="O24" s="2">
        <v>33069.207376345366</v>
      </c>
      <c r="P24" s="2">
        <v>56169.407767395685</v>
      </c>
      <c r="Q24" s="2">
        <v>6911.1165249423875</v>
      </c>
      <c r="R24" s="2">
        <v>19126.333308510424</v>
      </c>
      <c r="S24" s="2">
        <v>1467.8287851768835</v>
      </c>
      <c r="T24" s="6">
        <v>218.43261380029105</v>
      </c>
      <c r="U24" s="6">
        <v>144.15006643223444</v>
      </c>
      <c r="V24" s="7">
        <v>0.69368379641711164</v>
      </c>
      <c r="W24" s="2">
        <v>17.434622600028373</v>
      </c>
      <c r="X24" s="2">
        <v>10.599025456092354</v>
      </c>
    </row>
    <row r="25" spans="1:24" ht="15.6" x14ac:dyDescent="0.3">
      <c r="A25" s="163">
        <v>33</v>
      </c>
      <c r="B25" s="166" t="s">
        <v>93</v>
      </c>
      <c r="C25" s="9">
        <v>0.20198356759669092</v>
      </c>
      <c r="D25" s="1">
        <f t="shared" si="0"/>
        <v>0</v>
      </c>
      <c r="E25" s="8">
        <v>1083.3944698314751</v>
      </c>
      <c r="F25" s="62" t="s">
        <v>188</v>
      </c>
      <c r="G25" s="2">
        <v>10076.963024612111</v>
      </c>
      <c r="H25" s="3">
        <v>9.1015735762656355E-2</v>
      </c>
      <c r="I25" s="4">
        <v>1.0286458925041804</v>
      </c>
      <c r="J25" s="4">
        <v>4.3664593135986633</v>
      </c>
      <c r="K25" s="4">
        <v>11.258894523844038</v>
      </c>
      <c r="L25" s="5">
        <v>1.4783785134278657</v>
      </c>
      <c r="M25" s="3">
        <v>0</v>
      </c>
      <c r="N25" s="2">
        <v>155263.31248319233</v>
      </c>
      <c r="O25" s="2">
        <v>37998.459430133713</v>
      </c>
      <c r="P25" s="2">
        <v>63476.053609370334</v>
      </c>
      <c r="Q25" s="2">
        <v>3777.4223476481311</v>
      </c>
      <c r="R25" s="2">
        <v>22540.419761141427</v>
      </c>
      <c r="S25" s="2">
        <v>1190.1978835399718</v>
      </c>
      <c r="T25" s="6">
        <v>721.5514280368111</v>
      </c>
      <c r="U25" s="6">
        <v>342.48010378739815</v>
      </c>
      <c r="V25" s="7">
        <v>0.73610178081109168</v>
      </c>
      <c r="W25" s="2">
        <v>116.76045835689946</v>
      </c>
      <c r="X25" s="2">
        <v>68.993852133285159</v>
      </c>
    </row>
    <row r="26" spans="1:24" ht="15.6" x14ac:dyDescent="0.3">
      <c r="A26" s="163">
        <v>35</v>
      </c>
      <c r="B26" s="166" t="s">
        <v>95</v>
      </c>
      <c r="C26" s="9">
        <v>0.19560339953692105</v>
      </c>
      <c r="D26" s="1">
        <f t="shared" si="0"/>
        <v>0</v>
      </c>
      <c r="E26" s="8">
        <v>1046.6706992138597</v>
      </c>
      <c r="F26" s="62" t="s">
        <v>188</v>
      </c>
      <c r="G26" s="2">
        <v>7018.6453746480965</v>
      </c>
      <c r="H26" s="3">
        <v>7.9938868393827051E-2</v>
      </c>
      <c r="I26" s="4">
        <v>2.3797686230161625</v>
      </c>
      <c r="J26" s="4">
        <v>12.087383505219531</v>
      </c>
      <c r="K26" s="4">
        <v>22.878779425237997</v>
      </c>
      <c r="L26" s="5">
        <v>1.4218245389926152</v>
      </c>
      <c r="M26" s="3">
        <v>0.25139369018234708</v>
      </c>
      <c r="N26" s="2">
        <v>98927.00681310278</v>
      </c>
      <c r="O26" s="2">
        <v>17267.567306363107</v>
      </c>
      <c r="P26" s="2">
        <v>49749.572214732187</v>
      </c>
      <c r="Q26" s="2">
        <v>6327.4143874367473</v>
      </c>
      <c r="R26" s="2">
        <v>420.50940749900008</v>
      </c>
      <c r="S26" s="2">
        <v>152.39958426723078</v>
      </c>
      <c r="T26" s="6">
        <v>247.65485566344645</v>
      </c>
      <c r="U26" s="6">
        <v>151.81266242618725</v>
      </c>
      <c r="V26" s="7">
        <v>2.2404192328862016</v>
      </c>
      <c r="W26" s="2">
        <v>264.23321705181621</v>
      </c>
      <c r="X26" s="2">
        <v>139.60618100760445</v>
      </c>
    </row>
    <row r="27" spans="1:24" ht="15.6" x14ac:dyDescent="0.3">
      <c r="A27" s="163">
        <v>4</v>
      </c>
      <c r="B27" s="166" t="s">
        <v>67</v>
      </c>
      <c r="C27" s="9">
        <v>0.19784295602882956</v>
      </c>
      <c r="D27" s="1">
        <f t="shared" si="0"/>
        <v>0</v>
      </c>
      <c r="E27" s="8">
        <v>1070.974211155285</v>
      </c>
      <c r="F27" s="62" t="s">
        <v>18</v>
      </c>
      <c r="G27" s="2">
        <v>4869.0738221310939</v>
      </c>
      <c r="H27" s="3">
        <v>7.1872277852404631E-2</v>
      </c>
      <c r="I27" s="4">
        <v>0.63585398738432908</v>
      </c>
      <c r="J27" s="4">
        <v>13.57356237964132</v>
      </c>
      <c r="K27" s="4">
        <v>17.251953251780723</v>
      </c>
      <c r="L27" s="5">
        <v>1.3245754797252767</v>
      </c>
      <c r="M27" s="3">
        <v>0.24812900266487894</v>
      </c>
      <c r="N27" s="2">
        <v>63430.508718716424</v>
      </c>
      <c r="O27" s="2">
        <v>4688.3004745979033</v>
      </c>
      <c r="P27" s="2">
        <v>26036.857492125939</v>
      </c>
      <c r="Q27" s="2">
        <v>1094.638234240922</v>
      </c>
      <c r="R27" s="2">
        <v>509.19782848409022</v>
      </c>
      <c r="S27" s="2">
        <v>18.769782980439999</v>
      </c>
      <c r="T27" s="6">
        <v>143.19871505164446</v>
      </c>
      <c r="U27" s="6">
        <v>88.168481737426958</v>
      </c>
      <c r="V27" s="7">
        <v>1.7401065136667968</v>
      </c>
      <c r="W27" s="2">
        <v>160.16354816664332</v>
      </c>
      <c r="X27" s="2">
        <v>93.249908001904032</v>
      </c>
    </row>
    <row r="28" spans="1:24" ht="15.6" x14ac:dyDescent="0.3">
      <c r="A28" s="163">
        <v>6</v>
      </c>
      <c r="B28" s="166" t="s">
        <v>69</v>
      </c>
      <c r="C28" s="9">
        <v>0.19247303445275726</v>
      </c>
      <c r="D28" s="1">
        <f t="shared" si="0"/>
        <v>0</v>
      </c>
      <c r="E28" s="8">
        <v>1070.2434064107395</v>
      </c>
      <c r="F28" s="62" t="s">
        <v>18</v>
      </c>
      <c r="G28" s="2">
        <v>6329.9304960188347</v>
      </c>
      <c r="H28" s="3">
        <v>7.100194796570182E-2</v>
      </c>
      <c r="I28" s="4">
        <v>2.5647932219682219</v>
      </c>
      <c r="J28" s="4">
        <v>5.7264483700479776</v>
      </c>
      <c r="K28" s="4">
        <v>13.133834281062573</v>
      </c>
      <c r="L28" s="5">
        <v>0.85711772825557797</v>
      </c>
      <c r="M28" s="3">
        <v>0.27877395529025112</v>
      </c>
      <c r="N28" s="2">
        <v>51487.582885021322</v>
      </c>
      <c r="O28" s="2">
        <v>6600.4778533860035</v>
      </c>
      <c r="P28" s="2">
        <v>41839.70154360195</v>
      </c>
      <c r="Q28" s="2">
        <v>2486.0955642011809</v>
      </c>
      <c r="R28" s="2">
        <v>2480.7300054623797</v>
      </c>
      <c r="S28" s="2">
        <v>62.300598866783105</v>
      </c>
      <c r="T28" s="6">
        <v>168.18949167573572</v>
      </c>
      <c r="U28" s="6">
        <v>107.57661804363188</v>
      </c>
      <c r="V28" s="7">
        <v>1.6278479218193536</v>
      </c>
      <c r="W28" s="2">
        <v>233.56775782261391</v>
      </c>
      <c r="X28" s="2">
        <v>144.44141718267522</v>
      </c>
    </row>
    <row r="29" spans="1:24" ht="15.6" x14ac:dyDescent="0.3">
      <c r="A29" s="163">
        <v>20</v>
      </c>
      <c r="B29" s="166" t="s">
        <v>81</v>
      </c>
      <c r="C29" s="9">
        <v>0.19631914893962854</v>
      </c>
      <c r="D29" s="1">
        <f t="shared" si="0"/>
        <v>0</v>
      </c>
      <c r="E29" s="8">
        <v>1069.8077907245233</v>
      </c>
      <c r="F29" s="62" t="s">
        <v>18</v>
      </c>
      <c r="G29" s="2">
        <v>4506.8536689404064</v>
      </c>
      <c r="H29" s="3">
        <v>9.3915540529134214E-2</v>
      </c>
      <c r="I29" s="4">
        <v>0.8153944613547035</v>
      </c>
      <c r="J29" s="4">
        <v>12.19094641527502</v>
      </c>
      <c r="K29" s="4">
        <v>18.795252404147913</v>
      </c>
      <c r="L29" s="5">
        <v>4.8288112105472765</v>
      </c>
      <c r="M29" s="3" t="s">
        <v>65</v>
      </c>
      <c r="N29" s="2">
        <v>39933.970829996957</v>
      </c>
      <c r="O29" s="2">
        <v>5081.2595952273696</v>
      </c>
      <c r="P29" s="2">
        <v>33777.15191985984</v>
      </c>
      <c r="Q29" s="2">
        <v>2574.0511349388989</v>
      </c>
      <c r="R29" s="2">
        <v>246.26144907502845</v>
      </c>
      <c r="S29" s="2">
        <v>15.224003632288966</v>
      </c>
      <c r="T29" s="6">
        <v>134.72902421238186</v>
      </c>
      <c r="U29" s="6">
        <v>39.060448979217981</v>
      </c>
      <c r="V29" s="7">
        <v>2.1497332932699442</v>
      </c>
      <c r="W29" s="2">
        <v>369.85114860983532</v>
      </c>
      <c r="X29" s="2">
        <v>174.98526397439363</v>
      </c>
    </row>
    <row r="30" spans="1:24" ht="15.6" x14ac:dyDescent="0.3">
      <c r="A30" s="163">
        <v>21</v>
      </c>
      <c r="B30" s="166" t="s">
        <v>82</v>
      </c>
      <c r="C30" s="9">
        <v>0.20512920380461938</v>
      </c>
      <c r="D30" s="1">
        <f t="shared" si="0"/>
        <v>0</v>
      </c>
      <c r="E30" s="8">
        <v>1089.5915997084317</v>
      </c>
      <c r="F30" s="62" t="s">
        <v>18</v>
      </c>
      <c r="G30" s="2">
        <v>4818.8839265238094</v>
      </c>
      <c r="H30" s="3">
        <v>0.10108585737845205</v>
      </c>
      <c r="I30" s="4">
        <v>1.3308021361682025</v>
      </c>
      <c r="J30" s="4">
        <v>12.701433124158616</v>
      </c>
      <c r="K30" s="4">
        <v>25.914516023883216</v>
      </c>
      <c r="L30" s="5">
        <v>3.0203094982764997</v>
      </c>
      <c r="M30" s="3">
        <v>0.3119627825386645</v>
      </c>
      <c r="N30" s="2">
        <v>55043.264423115616</v>
      </c>
      <c r="O30" s="2">
        <v>16796.516835614337</v>
      </c>
      <c r="P30" s="2">
        <v>31656.438416286648</v>
      </c>
      <c r="Q30" s="2">
        <v>4761.782885761324</v>
      </c>
      <c r="R30" s="2">
        <v>2339.1480735981277</v>
      </c>
      <c r="S30" s="2">
        <v>447.2253496591253</v>
      </c>
      <c r="T30" s="6">
        <v>154.6879939470443</v>
      </c>
      <c r="U30" s="6">
        <v>86.729239581206869</v>
      </c>
      <c r="V30" s="7">
        <v>1.8300205798931941</v>
      </c>
      <c r="W30" s="2">
        <v>142.27253239620839</v>
      </c>
      <c r="X30" s="2">
        <v>91.508938314474179</v>
      </c>
    </row>
    <row r="31" spans="1:24" ht="15.6" x14ac:dyDescent="0.3">
      <c r="A31" s="163">
        <v>2</v>
      </c>
      <c r="B31" s="166" t="s">
        <v>64</v>
      </c>
      <c r="C31" s="9">
        <v>0.1471962655367377</v>
      </c>
      <c r="D31" s="1">
        <f t="shared" si="0"/>
        <v>0</v>
      </c>
      <c r="E31" s="8">
        <v>777.30308467806265</v>
      </c>
      <c r="F31" s="62" t="s">
        <v>16</v>
      </c>
      <c r="G31" s="2">
        <v>1614.6445466288892</v>
      </c>
      <c r="H31" s="3">
        <v>9.5288266383684428E-2</v>
      </c>
      <c r="I31" s="4">
        <v>0</v>
      </c>
      <c r="J31" s="4">
        <v>0</v>
      </c>
      <c r="K31" s="4">
        <v>31.014055361161574</v>
      </c>
      <c r="L31" s="5">
        <v>2.6697187567682752</v>
      </c>
      <c r="M31" s="3" t="s">
        <v>65</v>
      </c>
      <c r="N31" s="2">
        <v>43518.355390691198</v>
      </c>
      <c r="O31" s="2">
        <v>14421.238903679263</v>
      </c>
      <c r="P31" s="2">
        <v>12697.540259894553</v>
      </c>
      <c r="Q31" s="2">
        <v>1572.9801365668882</v>
      </c>
      <c r="R31" s="2">
        <v>641.15955466580021</v>
      </c>
      <c r="S31" s="2">
        <v>131.18735452644691</v>
      </c>
      <c r="T31" s="6">
        <v>50.359753759161492</v>
      </c>
      <c r="U31" s="6">
        <v>32.164609824806007</v>
      </c>
      <c r="V31" s="7">
        <v>0.90141533792534023</v>
      </c>
      <c r="W31" s="2">
        <v>90.414117981488232</v>
      </c>
      <c r="X31" s="2">
        <v>59.865420741985439</v>
      </c>
    </row>
    <row r="32" spans="1:24" ht="15.6" x14ac:dyDescent="0.3">
      <c r="A32" s="163">
        <v>12</v>
      </c>
      <c r="B32" s="166" t="s">
        <v>74</v>
      </c>
      <c r="C32" s="9">
        <v>0.14599035394695389</v>
      </c>
      <c r="D32" s="1">
        <f t="shared" si="0"/>
        <v>0</v>
      </c>
      <c r="E32" s="8">
        <v>762.32681594137625</v>
      </c>
      <c r="F32" s="62" t="s">
        <v>16</v>
      </c>
      <c r="G32" s="2">
        <v>589.6240991823754</v>
      </c>
      <c r="H32" s="3">
        <v>0.10070042948781605</v>
      </c>
      <c r="I32" s="4">
        <v>0</v>
      </c>
      <c r="J32" s="4">
        <v>0</v>
      </c>
      <c r="K32" s="4">
        <v>1.6065840807312453</v>
      </c>
      <c r="L32" s="5">
        <v>0.76255446498989576</v>
      </c>
      <c r="M32" s="3">
        <v>0</v>
      </c>
      <c r="N32" s="2">
        <v>10461.942483550703</v>
      </c>
      <c r="O32" s="2">
        <v>789.07928419433733</v>
      </c>
      <c r="P32" s="2">
        <v>940.0644574492336</v>
      </c>
      <c r="Q32" s="2">
        <v>0</v>
      </c>
      <c r="R32" s="2">
        <v>13.857607188652198</v>
      </c>
      <c r="S32" s="2">
        <v>0</v>
      </c>
      <c r="T32" s="6">
        <v>0</v>
      </c>
      <c r="U32" s="6">
        <v>0</v>
      </c>
      <c r="V32" s="7" t="s">
        <v>65</v>
      </c>
      <c r="W32" s="2" t="s">
        <v>65</v>
      </c>
      <c r="X32" s="2" t="s">
        <v>65</v>
      </c>
    </row>
    <row r="33" spans="1:24" ht="15.6" x14ac:dyDescent="0.3">
      <c r="A33" s="163">
        <v>13</v>
      </c>
      <c r="B33" s="166" t="s">
        <v>75</v>
      </c>
      <c r="C33" s="9">
        <v>0.1511029964084121</v>
      </c>
      <c r="D33" s="1">
        <f t="shared" si="0"/>
        <v>0</v>
      </c>
      <c r="E33" s="8">
        <v>761.97069736110859</v>
      </c>
      <c r="F33" s="62" t="s">
        <v>16</v>
      </c>
      <c r="G33" s="2">
        <v>555.46833051517433</v>
      </c>
      <c r="H33" s="3">
        <v>6.1059868538786435E-2</v>
      </c>
      <c r="I33" s="4">
        <v>3.9853785777738753</v>
      </c>
      <c r="J33" s="4">
        <v>9.873624988732054</v>
      </c>
      <c r="K33" s="4">
        <v>18.647968918693994</v>
      </c>
      <c r="L33" s="5">
        <v>0.82174355847106073</v>
      </c>
      <c r="M33" s="3">
        <v>0.31075384387650778</v>
      </c>
      <c r="N33" s="2">
        <v>24313.550727824619</v>
      </c>
      <c r="O33" s="2">
        <v>6930.0362808416012</v>
      </c>
      <c r="P33" s="2">
        <v>3165.0747162117996</v>
      </c>
      <c r="Q33" s="2">
        <v>584.00463642470504</v>
      </c>
      <c r="R33" s="2">
        <v>4864.768719872598</v>
      </c>
      <c r="S33" s="2">
        <v>357.44623731867244</v>
      </c>
      <c r="T33" s="6">
        <v>0</v>
      </c>
      <c r="U33" s="6">
        <v>0</v>
      </c>
      <c r="V33" s="7">
        <v>2.4411062480774111</v>
      </c>
      <c r="W33" s="2">
        <v>340.82971727026228</v>
      </c>
      <c r="X33" s="2">
        <v>159.07221685826624</v>
      </c>
    </row>
    <row r="34" spans="1:24" ht="15.6" x14ac:dyDescent="0.3">
      <c r="A34" s="163">
        <v>15</v>
      </c>
      <c r="B34" s="166" t="s">
        <v>77</v>
      </c>
      <c r="C34" s="9">
        <v>0.19097853388589306</v>
      </c>
      <c r="D34" s="1">
        <f t="shared" si="0"/>
        <v>0</v>
      </c>
      <c r="E34" s="8">
        <v>1035.4424292843739</v>
      </c>
      <c r="F34" s="62" t="s">
        <v>16</v>
      </c>
      <c r="G34" s="2">
        <v>2706.6785656884049</v>
      </c>
      <c r="H34" s="3">
        <v>7.4748842717268907E-2</v>
      </c>
      <c r="I34" s="4">
        <v>0.84520736925092044</v>
      </c>
      <c r="J34" s="4">
        <v>1.5993950280816895</v>
      </c>
      <c r="K34" s="4">
        <v>18.525804328284867</v>
      </c>
      <c r="L34" s="5">
        <v>1.0272475998373276</v>
      </c>
      <c r="M34" s="3">
        <v>0.28805037373882736</v>
      </c>
      <c r="N34" s="2">
        <v>22340.849964012003</v>
      </c>
      <c r="O34" s="2">
        <v>4226.8350257935599</v>
      </c>
      <c r="P34" s="2">
        <v>10842.262427467289</v>
      </c>
      <c r="Q34" s="2">
        <v>1439.1201408661082</v>
      </c>
      <c r="R34" s="2">
        <v>100.42512595675093</v>
      </c>
      <c r="S34" s="2">
        <v>12.662985956147461</v>
      </c>
      <c r="T34" s="6">
        <v>160.76708693811415</v>
      </c>
      <c r="U34" s="6">
        <v>121.77538848815317</v>
      </c>
      <c r="V34" s="7">
        <v>1.6277590337710757</v>
      </c>
      <c r="W34" s="2">
        <v>220.58795236315802</v>
      </c>
      <c r="X34" s="2">
        <v>104.7459108281267</v>
      </c>
    </row>
    <row r="35" spans="1:24" ht="15.6" x14ac:dyDescent="0.3">
      <c r="A35" s="163">
        <v>17</v>
      </c>
      <c r="B35" s="166" t="s">
        <v>79</v>
      </c>
      <c r="C35" s="9">
        <v>0.14321894308448696</v>
      </c>
      <c r="D35" s="1">
        <f t="shared" si="0"/>
        <v>0</v>
      </c>
      <c r="E35" s="8">
        <v>754.65669392675534</v>
      </c>
      <c r="F35" s="62" t="s">
        <v>16</v>
      </c>
      <c r="G35" s="2">
        <v>46.714592059130531</v>
      </c>
      <c r="H35" s="3">
        <v>9.500595155474191E-2</v>
      </c>
      <c r="I35" s="4">
        <v>1.8394351986203286</v>
      </c>
      <c r="J35" s="4">
        <v>9.0559966061956914</v>
      </c>
      <c r="K35" s="4">
        <v>20.671013247090862</v>
      </c>
      <c r="L35" s="5">
        <v>0.41172941294892412</v>
      </c>
      <c r="M35" s="3">
        <v>0</v>
      </c>
      <c r="N35" s="2">
        <v>17743.649727076157</v>
      </c>
      <c r="O35" s="2">
        <v>5241.1352580703106</v>
      </c>
      <c r="P35" s="2">
        <v>769.24966752148782</v>
      </c>
      <c r="Q35" s="2">
        <v>333.70891511126064</v>
      </c>
      <c r="R35" s="2">
        <v>187.21405200676799</v>
      </c>
      <c r="S35" s="2">
        <v>4.7608960738435862</v>
      </c>
      <c r="T35" s="6">
        <v>0</v>
      </c>
      <c r="U35" s="6">
        <v>0</v>
      </c>
      <c r="V35" s="7">
        <v>0.30125194370236108</v>
      </c>
      <c r="W35" s="2">
        <v>8.3803836744167075</v>
      </c>
      <c r="X35" s="2">
        <v>2.165655068213006</v>
      </c>
    </row>
    <row r="36" spans="1:24" ht="15.6" x14ac:dyDescent="0.3">
      <c r="A36" s="163">
        <v>29</v>
      </c>
      <c r="B36" s="166" t="s">
        <v>89</v>
      </c>
      <c r="C36" s="9">
        <v>0.20793645646766667</v>
      </c>
      <c r="D36" s="1">
        <f t="shared" si="0"/>
        <v>0</v>
      </c>
      <c r="E36" s="8">
        <v>1120.9667646993428</v>
      </c>
      <c r="F36" s="62" t="s">
        <v>16</v>
      </c>
      <c r="G36" s="2">
        <v>2985.2112994259737</v>
      </c>
      <c r="H36" s="3">
        <v>0.11424240077061186</v>
      </c>
      <c r="I36" s="4">
        <v>0.91902973812578981</v>
      </c>
      <c r="J36" s="4">
        <v>6.1635013140109063</v>
      </c>
      <c r="K36" s="4">
        <v>14.820100249622161</v>
      </c>
      <c r="L36" s="5">
        <v>0.7040260464418876</v>
      </c>
      <c r="M36" s="3">
        <v>0.20738145197561689</v>
      </c>
      <c r="N36" s="2">
        <v>31075.483352759838</v>
      </c>
      <c r="O36" s="2">
        <v>7387.3941575120043</v>
      </c>
      <c r="P36" s="2">
        <v>14130.054437352117</v>
      </c>
      <c r="Q36" s="2">
        <v>1311.1761920249344</v>
      </c>
      <c r="R36" s="2">
        <v>531.43307352457714</v>
      </c>
      <c r="S36" s="2">
        <v>252.75329085726003</v>
      </c>
      <c r="T36" s="6">
        <v>128.55499001036881</v>
      </c>
      <c r="U36" s="6">
        <v>47.726907726219189</v>
      </c>
      <c r="V36" s="7">
        <v>2.1223774970415921</v>
      </c>
      <c r="W36" s="2">
        <v>147.31789445183233</v>
      </c>
      <c r="X36" s="2">
        <v>101.99480139117811</v>
      </c>
    </row>
    <row r="37" spans="1:24" ht="15.6" x14ac:dyDescent="0.3">
      <c r="A37" s="163">
        <v>34</v>
      </c>
      <c r="B37" s="166" t="s">
        <v>94</v>
      </c>
      <c r="C37" s="9">
        <v>0.14930081215524948</v>
      </c>
      <c r="D37" s="1">
        <f t="shared" si="0"/>
        <v>0</v>
      </c>
      <c r="E37" s="8">
        <v>767.14322992580833</v>
      </c>
      <c r="F37" s="62" t="s">
        <v>16</v>
      </c>
      <c r="G37" s="2">
        <v>937.57932975501853</v>
      </c>
      <c r="H37" s="3">
        <v>8.9105128507279613E-2</v>
      </c>
      <c r="I37" s="4">
        <v>2.8915046189429652</v>
      </c>
      <c r="J37" s="4">
        <v>5.6893766599115665</v>
      </c>
      <c r="K37" s="4">
        <v>18.031801170622067</v>
      </c>
      <c r="L37" s="5">
        <v>0.34004021357759584</v>
      </c>
      <c r="M37" s="3">
        <v>0.32699121416354004</v>
      </c>
      <c r="N37" s="2">
        <v>32823.257289187168</v>
      </c>
      <c r="O37" s="2">
        <v>5403.7532034488622</v>
      </c>
      <c r="P37" s="2">
        <v>5756.3499334227363</v>
      </c>
      <c r="Q37" s="2">
        <v>171.93413402521489</v>
      </c>
      <c r="R37" s="2">
        <v>713.97137970710355</v>
      </c>
      <c r="S37" s="2">
        <v>2.1176931750465275</v>
      </c>
      <c r="T37" s="6">
        <v>0</v>
      </c>
      <c r="U37" s="6">
        <v>0</v>
      </c>
      <c r="V37" s="7">
        <v>0.43266788646343857</v>
      </c>
      <c r="W37" s="2">
        <v>38.561659687605299</v>
      </c>
      <c r="X37" s="2">
        <v>31.361788576254057</v>
      </c>
    </row>
    <row r="38" spans="1:24" ht="15.6" x14ac:dyDescent="0.3">
      <c r="A38" s="163">
        <v>36</v>
      </c>
      <c r="B38" s="166" t="s">
        <v>96</v>
      </c>
      <c r="C38" s="9">
        <v>0.1494722015820468</v>
      </c>
      <c r="D38" s="1">
        <f t="shared" si="0"/>
        <v>0</v>
      </c>
      <c r="E38" s="8">
        <v>744.21991299828346</v>
      </c>
      <c r="F38" s="62" t="s">
        <v>16</v>
      </c>
      <c r="G38" s="2">
        <v>1443.7562645391799</v>
      </c>
      <c r="H38" s="3">
        <v>6.024058438806635E-2</v>
      </c>
      <c r="I38" s="4">
        <v>3.8590999371214347</v>
      </c>
      <c r="J38" s="4">
        <v>5.1086202308241062E-2</v>
      </c>
      <c r="K38" s="4">
        <v>15.9874063129721</v>
      </c>
      <c r="L38" s="5">
        <v>1.3100158267555424</v>
      </c>
      <c r="M38" s="3">
        <v>0.36050063986723524</v>
      </c>
      <c r="N38" s="2">
        <v>45299.841772986423</v>
      </c>
      <c r="O38" s="2">
        <v>15135.548239733649</v>
      </c>
      <c r="P38" s="2">
        <v>7437.0521511753595</v>
      </c>
      <c r="Q38" s="2">
        <v>1503.0352447086987</v>
      </c>
      <c r="R38" s="2">
        <v>3694.1880619760591</v>
      </c>
      <c r="S38" s="2">
        <v>397.40253176537368</v>
      </c>
      <c r="T38" s="6">
        <v>34.36616511003281</v>
      </c>
      <c r="U38" s="6">
        <v>23.066247454078262</v>
      </c>
      <c r="V38" s="7" t="s">
        <v>65</v>
      </c>
      <c r="W38" s="2" t="s">
        <v>65</v>
      </c>
      <c r="X38" s="2" t="s">
        <v>65</v>
      </c>
    </row>
  </sheetData>
  <autoFilter ref="A1:X38" xr:uid="{5628ED50-0DB9-4D2B-B13A-C93F3CA88342}">
    <sortState xmlns:xlrd2="http://schemas.microsoft.com/office/spreadsheetml/2017/richdata2" ref="A2:X38">
      <sortCondition descending="1" ref="D2:D38"/>
      <sortCondition ref="F2:F38"/>
    </sortState>
  </autoFilter>
  <pageMargins left="0.75" right="0.75" top="1" bottom="1" header="0.5" footer="0.5"/>
  <pageSetup orientation="portrait" horizontalDpi="4294967292" verticalDpi="429496729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4D286-30B8-4BF9-AA2F-5857F51F3DC5}">
  <sheetPr codeName="Sheet15"/>
  <dimension ref="A1:Z24"/>
  <sheetViews>
    <sheetView workbookViewId="0">
      <selection activeCell="K26" sqref="K26"/>
    </sheetView>
  </sheetViews>
  <sheetFormatPr defaultColWidth="8.8984375" defaultRowHeight="15.6" x14ac:dyDescent="0.3"/>
  <cols>
    <col min="1" max="1" width="19.59765625" customWidth="1"/>
    <col min="2" max="21" width="10.59765625" customWidth="1"/>
    <col min="23" max="23" width="10.5" customWidth="1"/>
    <col min="26" max="26" width="11.5" customWidth="1"/>
  </cols>
  <sheetData>
    <row r="1" spans="1:26" ht="60" customHeight="1" x14ac:dyDescent="0.3">
      <c r="A1" s="44" t="s">
        <v>6</v>
      </c>
      <c r="B1" s="45" t="s">
        <v>47</v>
      </c>
      <c r="C1" s="46" t="s">
        <v>44</v>
      </c>
      <c r="D1" s="46" t="s">
        <v>42</v>
      </c>
      <c r="E1" s="46" t="s">
        <v>48</v>
      </c>
      <c r="F1" s="46" t="s">
        <v>49</v>
      </c>
      <c r="G1" s="46" t="s">
        <v>50</v>
      </c>
      <c r="H1" s="46" t="s">
        <v>51</v>
      </c>
      <c r="I1" s="46" t="s">
        <v>52</v>
      </c>
      <c r="J1" s="46" t="s">
        <v>53</v>
      </c>
      <c r="K1" s="47" t="s">
        <v>54</v>
      </c>
      <c r="L1" s="46" t="s">
        <v>55</v>
      </c>
      <c r="M1" s="47" t="s">
        <v>45</v>
      </c>
      <c r="N1" s="46" t="s">
        <v>56</v>
      </c>
      <c r="O1" s="47" t="s">
        <v>57</v>
      </c>
      <c r="P1" s="46" t="s">
        <v>58</v>
      </c>
      <c r="Q1" s="46" t="s">
        <v>43</v>
      </c>
      <c r="R1" s="46" t="s">
        <v>59</v>
      </c>
      <c r="S1" s="46" t="s">
        <v>60</v>
      </c>
      <c r="T1" s="46" t="s">
        <v>61</v>
      </c>
      <c r="U1" s="48" t="s">
        <v>62</v>
      </c>
      <c r="W1" s="49" t="s">
        <v>189</v>
      </c>
      <c r="X1" s="50" t="s">
        <v>190</v>
      </c>
      <c r="Z1" s="57" t="s">
        <v>191</v>
      </c>
    </row>
    <row r="2" spans="1:26" x14ac:dyDescent="0.3">
      <c r="A2" s="29" t="str" cm="1">
        <f t="array" ref="A2:A19">_xlfn._xlws.FILTER('Hospital Parsing'!B1:B38,'Hospital Parsing'!D1:D38=1)</f>
        <v>AB</v>
      </c>
      <c r="B2" s="32">
        <f>IFERROR(INDEX('ORG-Metrics'!$A$1:$U$38,MATCH($A2,'ORG-Metrics'!$A$1:$A$38,0),MATCH(B$1,'ORG-Metrics'!$1:$1,0)),"")</f>
        <v>0.43053151322383792</v>
      </c>
      <c r="C2" s="32">
        <f>IFERROR(INDEX('ORG-Metrics'!$A$1:$U$38,MATCH($A2,'ORG-Metrics'!$A$1:$A$38,0),MATCH(C$1,'ORG-Metrics'!$1:$1,0)),"")</f>
        <v>1496.5400104391686</v>
      </c>
      <c r="D2" s="32">
        <f>IFERROR(INDEX('ORG-Metrics'!$A$1:$U$38,MATCH($A2,'ORG-Metrics'!$A$1:$A$38,0),MATCH(D$1,'ORG-Metrics'!$1:$1,0)),"")</f>
        <v>14201.23795490936</v>
      </c>
      <c r="E2" s="32">
        <f>IFERROR(INDEX('ORG-Metrics'!$A$1:$U$38,MATCH($A2,'ORG-Metrics'!$A$1:$A$38,0),MATCH(E$1,'ORG-Metrics'!$1:$1,0)),"")</f>
        <v>9.5024003030036858E-2</v>
      </c>
      <c r="F2" s="32">
        <f>IFERROR(INDEX('ORG-Metrics'!$A$1:$U$38,MATCH($A2,'ORG-Metrics'!$A$1:$A$38,0),MATCH(F$1,'ORG-Metrics'!$1:$1,0)),"")</f>
        <v>1.156225174093152E-2</v>
      </c>
      <c r="G2" s="32">
        <f>IFERROR(INDEX('ORG-Metrics'!$A$1:$U$38,MATCH($A2,'ORG-Metrics'!$A$1:$A$38,0),MATCH(G$1,'ORG-Metrics'!$1:$1,0)),"")</f>
        <v>6.4803142418670176E-2</v>
      </c>
      <c r="H2" s="32">
        <f>IFERROR(INDEX('ORG-Metrics'!$A$1:$U$38,MATCH($A2,'ORG-Metrics'!$A$1:$A$38,0),MATCH(H$1,'ORG-Metrics'!$1:$1,0)),"")</f>
        <v>0.35088708988640227</v>
      </c>
      <c r="I2" s="32">
        <f>IFERROR(INDEX('ORG-Metrics'!$A$1:$U$38,MATCH($A2,'ORG-Metrics'!$A$1:$A$38,0),MATCH(I$1,'ORG-Metrics'!$1:$1,0)),"")</f>
        <v>3.9637339723409923E-2</v>
      </c>
      <c r="J2" s="32">
        <f>IFERROR(INDEX('ORG-Metrics'!$A$1:$U$38,MATCH($A2,'ORG-Metrics'!$A$1:$A$38,0),MATCH(J$1,'ORG-Metrics'!$1:$1,0)),"")</f>
        <v>0.22961536687006864</v>
      </c>
      <c r="K2" s="32">
        <f>IFERROR(INDEX('ORG-Metrics'!$A$1:$U$38,MATCH($A2,'ORG-Metrics'!$A$1:$A$38,0),MATCH(K$1,'ORG-Metrics'!$1:$1,0)),"")</f>
        <v>147766.88571121212</v>
      </c>
      <c r="L2" s="32">
        <f>IFERROR(INDEX('ORG-Metrics'!$A$1:$U$38,MATCH($A2,'ORG-Metrics'!$A$1:$A$38,0),MATCH(L$1,'ORG-Metrics'!$1:$1,0)),"")</f>
        <v>18807.975163079038</v>
      </c>
      <c r="M2" s="32">
        <f>IFERROR(INDEX('ORG-Metrics'!$A$1:$U$38,MATCH($A2,'ORG-Metrics'!$A$1:$A$38,0),MATCH(M$1,'ORG-Metrics'!$1:$1,0)),"")</f>
        <v>117129.16089424651</v>
      </c>
      <c r="N2" s="32">
        <f>IFERROR(INDEX('ORG-Metrics'!$A$1:$U$38,MATCH($A2,'ORG-Metrics'!$A$1:$A$38,0),MATCH(N$1,'ORG-Metrics'!$1:$1,0)),"")</f>
        <v>5179.1205589007013</v>
      </c>
      <c r="O2" s="32">
        <f>IFERROR(INDEX('ORG-Metrics'!$A$1:$U$38,MATCH($A2,'ORG-Metrics'!$A$1:$A$38,0),MATCH(O$1,'ORG-Metrics'!$1:$1,0)),"")</f>
        <v>4799.1354649111545</v>
      </c>
      <c r="P2" s="32">
        <f>IFERROR(INDEX('ORG-Metrics'!$A$1:$U$38,MATCH($A2,'ORG-Metrics'!$A$1:$A$38,0),MATCH(P$1,'ORG-Metrics'!$1:$1,0)),"")</f>
        <v>340.3900075155388</v>
      </c>
      <c r="Q2" s="32">
        <f>IFERROR(INDEX('ORG-Metrics'!$A$1:$U$38,MATCH($A2,'ORG-Metrics'!$A$1:$A$38,0),MATCH(Q$1,'ORG-Metrics'!$1:$1,0)),"")</f>
        <v>361.30558307929294</v>
      </c>
      <c r="R2" s="32">
        <f>IFERROR(INDEX('ORG-Metrics'!$A$1:$U$38,MATCH($A2,'ORG-Metrics'!$A$1:$A$38,0),MATCH(R$1,'ORG-Metrics'!$1:$1,0)),"")</f>
        <v>105.2014277170625</v>
      </c>
      <c r="S2" s="32">
        <f>IFERROR(INDEX('ORG-Metrics'!$A$1:$U$38,MATCH($A2,'ORG-Metrics'!$A$1:$A$38,0),MATCH(S$1,'ORG-Metrics'!$1:$1,0)),"")</f>
        <v>1.2388152717375058</v>
      </c>
      <c r="T2" s="32">
        <f>IFERROR(INDEX('ORG-Metrics'!$A$1:$U$38,MATCH($A2,'ORG-Metrics'!$A$1:$A$38,0),MATCH(T$1,'ORG-Metrics'!$1:$1,0)),"")</f>
        <v>431.7911961588884</v>
      </c>
      <c r="U2" s="40">
        <f>IFERROR(INDEX('ORG-Metrics'!$A$1:$U$38,MATCH($A2,'ORG-Metrics'!$A$1:$A$38,0),MATCH(U$1,'ORG-Metrics'!$1:$1,0)),"")</f>
        <v>241.42918128958777</v>
      </c>
      <c r="W2" s="54">
        <f>SUM(K2,M2,O2)</f>
        <v>269695.18207036977</v>
      </c>
      <c r="X2" s="51" t="str">
        <f>IF(W2&lt;=MIN($W$2:$W$19)+(MAX($W$2:$W$19)-MIN($W$2:$W$19))/3, "Small", IF(W2&lt;=MIN($W$2:$W$19)+(MAX($W$2:$W$19)-MIN($W$2:$W$19))*2/3, "Medium", "Large"))</f>
        <v>Large</v>
      </c>
      <c r="Z2" s="51" t="str">
        <f>IF(D2&lt;=MIN($D$2:$D$19)+(MAX($D$2:$D$19)-MIN($D$2:$D$19))/3, "Small", IF(D2&lt;=MIN($D$2:$D$19)+(MAX($D$2:$D$19)-MIN($D$2:$D$19))*2/3, "Medium", "Large"))</f>
        <v>Large</v>
      </c>
    </row>
    <row r="3" spans="1:26" x14ac:dyDescent="0.3">
      <c r="A3" s="30" t="str">
        <v>AJ</v>
      </c>
      <c r="B3" s="39">
        <f>IFERROR(INDEX('ORG-Metrics'!$A$1:$U$38,MATCH($A3,'ORG-Metrics'!$A$1:$A$38,0),MATCH(B$1,'ORG-Metrics'!$1:$1,0)),"")</f>
        <v>0.44418285325844359</v>
      </c>
      <c r="C3" s="39">
        <f>IFERROR(INDEX('ORG-Metrics'!$A$1:$U$38,MATCH($A3,'ORG-Metrics'!$A$1:$A$38,0),MATCH(C$1,'ORG-Metrics'!$1:$1,0)),"")</f>
        <v>1543.130143001342</v>
      </c>
      <c r="D3" s="39">
        <f>IFERROR(INDEX('ORG-Metrics'!$A$1:$U$38,MATCH($A3,'ORG-Metrics'!$A$1:$A$38,0),MATCH(D$1,'ORG-Metrics'!$1:$1,0)),"")</f>
        <v>13835.013071722193</v>
      </c>
      <c r="E3" s="39">
        <f>IFERROR(INDEX('ORG-Metrics'!$A$1:$U$38,MATCH($A3,'ORG-Metrics'!$A$1:$A$38,0),MATCH(E$1,'ORG-Metrics'!$1:$1,0)),"")</f>
        <v>6.440256528277169E-2</v>
      </c>
      <c r="F3" s="39">
        <f>IFERROR(INDEX('ORG-Metrics'!$A$1:$U$38,MATCH($A3,'ORG-Metrics'!$A$1:$A$38,0),MATCH(F$1,'ORG-Metrics'!$1:$1,0)),"")</f>
        <v>2.2106867872299599E-2</v>
      </c>
      <c r="G3" s="39">
        <f>IFERROR(INDEX('ORG-Metrics'!$A$1:$U$38,MATCH($A3,'ORG-Metrics'!$A$1:$A$38,0),MATCH(G$1,'ORG-Metrics'!$1:$1,0)),"")</f>
        <v>7.697895286439381E-2</v>
      </c>
      <c r="H3" s="39">
        <f>IFERROR(INDEX('ORG-Metrics'!$A$1:$U$38,MATCH($A3,'ORG-Metrics'!$A$1:$A$38,0),MATCH(H$1,'ORG-Metrics'!$1:$1,0)),"")</f>
        <v>0.26142586360046094</v>
      </c>
      <c r="I3" s="39">
        <f>IFERROR(INDEX('ORG-Metrics'!$A$1:$U$38,MATCH($A3,'ORG-Metrics'!$A$1:$A$38,0),MATCH(I$1,'ORG-Metrics'!$1:$1,0)),"")</f>
        <v>6.9993292381362815E-2</v>
      </c>
      <c r="J3" s="39">
        <f>IFERROR(INDEX('ORG-Metrics'!$A$1:$U$38,MATCH($A3,'ORG-Metrics'!$A$1:$A$38,0),MATCH(J$1,'ORG-Metrics'!$1:$1,0)),"")</f>
        <v>0.96299639412580906</v>
      </c>
      <c r="K3" s="39">
        <f>IFERROR(INDEX('ORG-Metrics'!$A$1:$U$38,MATCH($A3,'ORG-Metrics'!$A$1:$A$38,0),MATCH(K$1,'ORG-Metrics'!$1:$1,0)),"")</f>
        <v>121369.22354160783</v>
      </c>
      <c r="L3" s="39">
        <f>IFERROR(INDEX('ORG-Metrics'!$A$1:$U$38,MATCH($A3,'ORG-Metrics'!$A$1:$A$38,0),MATCH(L$1,'ORG-Metrics'!$1:$1,0)),"")</f>
        <v>15450.260167523389</v>
      </c>
      <c r="M3" s="39">
        <f>IFERROR(INDEX('ORG-Metrics'!$A$1:$U$38,MATCH($A3,'ORG-Metrics'!$A$1:$A$38,0),MATCH(M$1,'ORG-Metrics'!$1:$1,0)),"")</f>
        <v>121096.18168756743</v>
      </c>
      <c r="N3" s="39">
        <f>IFERROR(INDEX('ORG-Metrics'!$A$1:$U$38,MATCH($A3,'ORG-Metrics'!$A$1:$A$38,0),MATCH(N$1,'ORG-Metrics'!$1:$1,0)),"")</f>
        <v>12067.07794592716</v>
      </c>
      <c r="O3" s="39">
        <f>IFERROR(INDEX('ORG-Metrics'!$A$1:$U$38,MATCH($A3,'ORG-Metrics'!$A$1:$A$38,0),MATCH(O$1,'ORG-Metrics'!$1:$1,0)),"")</f>
        <v>826.93977933000588</v>
      </c>
      <c r="P3" s="39">
        <f>IFERROR(INDEX('ORG-Metrics'!$A$1:$U$38,MATCH($A3,'ORG-Metrics'!$A$1:$A$38,0),MATCH(P$1,'ORG-Metrics'!$1:$1,0)),"")</f>
        <v>294.36488070354307</v>
      </c>
      <c r="Q3" s="39">
        <f>IFERROR(INDEX('ORG-Metrics'!$A$1:$U$38,MATCH($A3,'ORG-Metrics'!$A$1:$A$38,0),MATCH(Q$1,'ORG-Metrics'!$1:$1,0)),"")</f>
        <v>139.89229656171702</v>
      </c>
      <c r="R3" s="39">
        <f>IFERROR(INDEX('ORG-Metrics'!$A$1:$U$38,MATCH($A3,'ORG-Metrics'!$A$1:$A$38,0),MATCH(R$1,'ORG-Metrics'!$1:$1,0)),"")</f>
        <v>50.409501363937039</v>
      </c>
      <c r="S3" s="39">
        <f>IFERROR(INDEX('ORG-Metrics'!$A$1:$U$38,MATCH($A3,'ORG-Metrics'!$A$1:$A$38,0),MATCH(S$1,'ORG-Metrics'!$1:$1,0)),"")</f>
        <v>1.3381395639692875</v>
      </c>
      <c r="T3" s="39">
        <f>IFERROR(INDEX('ORG-Metrics'!$A$1:$U$38,MATCH($A3,'ORG-Metrics'!$A$1:$A$38,0),MATCH(T$1,'ORG-Metrics'!$1:$1,0)),"")</f>
        <v>245.53181771115621</v>
      </c>
      <c r="U3" s="41">
        <f>IFERROR(INDEX('ORG-Metrics'!$A$1:$U$38,MATCH($A3,'ORG-Metrics'!$A$1:$A$38,0),MATCH(U$1,'ORG-Metrics'!$1:$1,0)),"")</f>
        <v>154.129105692265</v>
      </c>
      <c r="W3" s="55">
        <f t="shared" ref="W3:W19" si="0">SUM(K3,M3,O3)</f>
        <v>243292.34500850528</v>
      </c>
      <c r="X3" s="52" t="str">
        <f t="shared" ref="X3:X19" si="1">IF(W3&lt;=MIN($W$2:$W$19)+(MAX($W$2:$W$19)-MIN($W$2:$W$19))/3, "Small", IF(W3&lt;=MIN($W$2:$W$19)+(MAX($W$2:$W$19)-MIN($W$2:$W$19))*2/3, "Medium", "Large"))</f>
        <v>Large</v>
      </c>
      <c r="Z3" s="52" t="str">
        <f t="shared" ref="Z3:Z19" si="2">IF(D3&lt;=MIN($D$2:$D$19)+(MAX($D$2:$D$19)-MIN($D$2:$D$19))/3, "Small", IF(D3&lt;=MIN($D$2:$D$19)+(MAX($D$2:$D$19)-MIN($D$2:$D$19))*2/3, "Medium", "Large"))</f>
        <v>Large</v>
      </c>
    </row>
    <row r="4" spans="1:26" x14ac:dyDescent="0.3">
      <c r="A4" s="30" t="str">
        <v>E</v>
      </c>
      <c r="B4" s="39">
        <f>IFERROR(INDEX('ORG-Metrics'!$A$1:$U$38,MATCH($A4,'ORG-Metrics'!$A$1:$A$38,0),MATCH(B$1,'ORG-Metrics'!$1:$1,0)),"")</f>
        <v>0.43280607748582361</v>
      </c>
      <c r="C4" s="39">
        <f>IFERROR(INDEX('ORG-Metrics'!$A$1:$U$38,MATCH($A4,'ORG-Metrics'!$A$1:$A$38,0),MATCH(C$1,'ORG-Metrics'!$1:$1,0)),"")</f>
        <v>1581.9945153048554</v>
      </c>
      <c r="D4" s="39">
        <f>IFERROR(INDEX('ORG-Metrics'!$A$1:$U$38,MATCH($A4,'ORG-Metrics'!$A$1:$A$38,0),MATCH(D$1,'ORG-Metrics'!$1:$1,0)),"")</f>
        <v>13814.692332851082</v>
      </c>
      <c r="E4" s="39">
        <f>IFERROR(INDEX('ORG-Metrics'!$A$1:$U$38,MATCH($A4,'ORG-Metrics'!$A$1:$A$38,0),MATCH(E$1,'ORG-Metrics'!$1:$1,0)),"")</f>
        <v>9.4188070219525633E-2</v>
      </c>
      <c r="F4" s="39">
        <f>IFERROR(INDEX('ORG-Metrics'!$A$1:$U$38,MATCH($A4,'ORG-Metrics'!$A$1:$A$38,0),MATCH(F$1,'ORG-Metrics'!$1:$1,0)),"")</f>
        <v>3.0990856313022043E-2</v>
      </c>
      <c r="G4" s="39">
        <f>IFERROR(INDEX('ORG-Metrics'!$A$1:$U$38,MATCH($A4,'ORG-Metrics'!$A$1:$A$38,0),MATCH(G$1,'ORG-Metrics'!$1:$1,0)),"")</f>
        <v>0.16159671543729717</v>
      </c>
      <c r="H4" s="39">
        <f>IFERROR(INDEX('ORG-Metrics'!$A$1:$U$38,MATCH($A4,'ORG-Metrics'!$A$1:$A$38,0),MATCH(H$1,'ORG-Metrics'!$1:$1,0)),"")</f>
        <v>0.32963684782869479</v>
      </c>
      <c r="I4" s="39">
        <f>IFERROR(INDEX('ORG-Metrics'!$A$1:$U$38,MATCH($A4,'ORG-Metrics'!$A$1:$A$38,0),MATCH(I$1,'ORG-Metrics'!$1:$1,0)),"")</f>
        <v>4.7362610534256604E-2</v>
      </c>
      <c r="J4" s="39">
        <f>IFERROR(INDEX('ORG-Metrics'!$A$1:$U$38,MATCH($A4,'ORG-Metrics'!$A$1:$A$38,0),MATCH(J$1,'ORG-Metrics'!$1:$1,0)),"")</f>
        <v>0.40884494240021368</v>
      </c>
      <c r="K4" s="39">
        <f>IFERROR(INDEX('ORG-Metrics'!$A$1:$U$38,MATCH($A4,'ORG-Metrics'!$A$1:$A$38,0),MATCH(K$1,'ORG-Metrics'!$1:$1,0)),"")</f>
        <v>135522.4618191325</v>
      </c>
      <c r="L4" s="39">
        <f>IFERROR(INDEX('ORG-Metrics'!$A$1:$U$38,MATCH($A4,'ORG-Metrics'!$A$1:$A$38,0),MATCH(L$1,'ORG-Metrics'!$1:$1,0)),"")</f>
        <v>34718.772985982854</v>
      </c>
      <c r="M4" s="39">
        <f>IFERROR(INDEX('ORG-Metrics'!$A$1:$U$38,MATCH($A4,'ORG-Metrics'!$A$1:$A$38,0),MATCH(M$1,'ORG-Metrics'!$1:$1,0)),"")</f>
        <v>109198.30143433674</v>
      </c>
      <c r="N4" s="39">
        <f>IFERROR(INDEX('ORG-Metrics'!$A$1:$U$38,MATCH($A4,'ORG-Metrics'!$A$1:$A$38,0),MATCH(N$1,'ORG-Metrics'!$1:$1,0)),"")</f>
        <v>12137.941878113284</v>
      </c>
      <c r="O4" s="39">
        <f>IFERROR(INDEX('ORG-Metrics'!$A$1:$U$38,MATCH($A4,'ORG-Metrics'!$A$1:$A$38,0),MATCH(O$1,'ORG-Metrics'!$1:$1,0)),"")</f>
        <v>3433.1446086642541</v>
      </c>
      <c r="P4" s="39">
        <f>IFERROR(INDEX('ORG-Metrics'!$A$1:$U$38,MATCH($A4,'ORG-Metrics'!$A$1:$A$38,0),MATCH(P$1,'ORG-Metrics'!$1:$1,0)),"")</f>
        <v>382.92462350233228</v>
      </c>
      <c r="Q4" s="39">
        <f>IFERROR(INDEX('ORG-Metrics'!$A$1:$U$38,MATCH($A4,'ORG-Metrics'!$A$1:$A$38,0),MATCH(Q$1,'ORG-Metrics'!$1:$1,0)),"")</f>
        <v>285.67061572560317</v>
      </c>
      <c r="R4" s="39">
        <f>IFERROR(INDEX('ORG-Metrics'!$A$1:$U$38,MATCH($A4,'ORG-Metrics'!$A$1:$A$38,0),MATCH(R$1,'ORG-Metrics'!$1:$1,0)),"")</f>
        <v>107.38773697004434</v>
      </c>
      <c r="S4" s="39">
        <f>IFERROR(INDEX('ORG-Metrics'!$A$1:$U$38,MATCH($A4,'ORG-Metrics'!$A$1:$A$38,0),MATCH(S$1,'ORG-Metrics'!$1:$1,0)),"")</f>
        <v>1.5604547673389562</v>
      </c>
      <c r="T4" s="39">
        <f>IFERROR(INDEX('ORG-Metrics'!$A$1:$U$38,MATCH($A4,'ORG-Metrics'!$A$1:$A$38,0),MATCH(T$1,'ORG-Metrics'!$1:$1,0)),"")</f>
        <v>382.69255110142365</v>
      </c>
      <c r="U4" s="41">
        <f>IFERROR(INDEX('ORG-Metrics'!$A$1:$U$38,MATCH($A4,'ORG-Metrics'!$A$1:$A$38,0),MATCH(U$1,'ORG-Metrics'!$1:$1,0)),"")</f>
        <v>240.77246931035782</v>
      </c>
      <c r="W4" s="55">
        <f t="shared" si="0"/>
        <v>248153.90786213352</v>
      </c>
      <c r="X4" s="52" t="str">
        <f t="shared" si="1"/>
        <v>Large</v>
      </c>
      <c r="Z4" s="52" t="str">
        <f t="shared" si="2"/>
        <v>Large</v>
      </c>
    </row>
    <row r="5" spans="1:26" x14ac:dyDescent="0.3">
      <c r="A5" s="30" t="str">
        <v>L</v>
      </c>
      <c r="B5" s="39">
        <f>IFERROR(INDEX('ORG-Metrics'!$A$1:$U$38,MATCH($A5,'ORG-Metrics'!$A$1:$A$38,0),MATCH(B$1,'ORG-Metrics'!$1:$1,0)),"")</f>
        <v>0.43785194084205659</v>
      </c>
      <c r="C5" s="39">
        <f>IFERROR(INDEX('ORG-Metrics'!$A$1:$U$38,MATCH($A5,'ORG-Metrics'!$A$1:$A$38,0),MATCH(C$1,'ORG-Metrics'!$1:$1,0)),"")</f>
        <v>1538.9578651955876</v>
      </c>
      <c r="D5" s="39">
        <f>IFERROR(INDEX('ORG-Metrics'!$A$1:$U$38,MATCH($A5,'ORG-Metrics'!$A$1:$A$38,0),MATCH(D$1,'ORG-Metrics'!$1:$1,0)),"")</f>
        <v>13118.519325623121</v>
      </c>
      <c r="E5" s="39">
        <f>IFERROR(INDEX('ORG-Metrics'!$A$1:$U$38,MATCH($A5,'ORG-Metrics'!$A$1:$A$38,0),MATCH(E$1,'ORG-Metrics'!$1:$1,0)),"")</f>
        <v>7.4374974218230569E-2</v>
      </c>
      <c r="F5" s="39">
        <f>IFERROR(INDEX('ORG-Metrics'!$A$1:$U$38,MATCH($A5,'ORG-Metrics'!$A$1:$A$38,0),MATCH(F$1,'ORG-Metrics'!$1:$1,0)),"")</f>
        <v>1.7641525613787349E-2</v>
      </c>
      <c r="G5" s="39">
        <f>IFERROR(INDEX('ORG-Metrics'!$A$1:$U$38,MATCH($A5,'ORG-Metrics'!$A$1:$A$38,0),MATCH(G$1,'ORG-Metrics'!$1:$1,0)),"")</f>
        <v>4.2983287571452714E-2</v>
      </c>
      <c r="H5" s="39">
        <f>IFERROR(INDEX('ORG-Metrics'!$A$1:$U$38,MATCH($A5,'ORG-Metrics'!$A$1:$A$38,0),MATCH(H$1,'ORG-Metrics'!$1:$1,0)),"")</f>
        <v>0.29422166907539837</v>
      </c>
      <c r="I5" s="39">
        <f>IFERROR(INDEX('ORG-Metrics'!$A$1:$U$38,MATCH($A5,'ORG-Metrics'!$A$1:$A$38,0),MATCH(I$1,'ORG-Metrics'!$1:$1,0)),"")</f>
        <v>6.7659869490600724E-2</v>
      </c>
      <c r="J5" s="39">
        <f>IFERROR(INDEX('ORG-Metrics'!$A$1:$U$38,MATCH($A5,'ORG-Metrics'!$A$1:$A$38,0),MATCH(J$1,'ORG-Metrics'!$1:$1,0)),"")</f>
        <v>0.39769688742319875</v>
      </c>
      <c r="K5" s="39">
        <f>IFERROR(INDEX('ORG-Metrics'!$A$1:$U$38,MATCH($A5,'ORG-Metrics'!$A$1:$A$38,0),MATCH(K$1,'ORG-Metrics'!$1:$1,0)),"")</f>
        <v>79657.318176471119</v>
      </c>
      <c r="L5" s="39">
        <f>IFERROR(INDEX('ORG-Metrics'!$A$1:$U$38,MATCH($A5,'ORG-Metrics'!$A$1:$A$38,0),MATCH(L$1,'ORG-Metrics'!$1:$1,0)),"")</f>
        <v>13948.897813733285</v>
      </c>
      <c r="M5" s="39">
        <f>IFERROR(INDEX('ORG-Metrics'!$A$1:$U$38,MATCH($A5,'ORG-Metrics'!$A$1:$A$38,0),MATCH(M$1,'ORG-Metrics'!$1:$1,0)),"")</f>
        <v>84156.506937351951</v>
      </c>
      <c r="N5" s="39">
        <f>IFERROR(INDEX('ORG-Metrics'!$A$1:$U$38,MATCH($A5,'ORG-Metrics'!$A$1:$A$38,0),MATCH(N$1,'ORG-Metrics'!$1:$1,0)),"")</f>
        <v>7343.9317476127017</v>
      </c>
      <c r="O5" s="39">
        <f>IFERROR(INDEX('ORG-Metrics'!$A$1:$U$38,MATCH($A5,'ORG-Metrics'!$A$1:$A$38,0),MATCH(O$1,'ORG-Metrics'!$1:$1,0)),"")</f>
        <v>188.21746603333875</v>
      </c>
      <c r="P5" s="39">
        <f>IFERROR(INDEX('ORG-Metrics'!$A$1:$U$38,MATCH($A5,'ORG-Metrics'!$A$1:$A$38,0),MATCH(P$1,'ORG-Metrics'!$1:$1,0)),"")</f>
        <v>45.273280193817151</v>
      </c>
      <c r="Q5" s="39">
        <f>IFERROR(INDEX('ORG-Metrics'!$A$1:$U$38,MATCH($A5,'ORG-Metrics'!$A$1:$A$38,0),MATCH(Q$1,'ORG-Metrics'!$1:$1,0)),"")</f>
        <v>221.10540195649486</v>
      </c>
      <c r="R5" s="39">
        <f>IFERROR(INDEX('ORG-Metrics'!$A$1:$U$38,MATCH($A5,'ORG-Metrics'!$A$1:$A$38,0),MATCH(R$1,'ORG-Metrics'!$1:$1,0)),"")</f>
        <v>91.605694207839903</v>
      </c>
      <c r="S5" s="39">
        <f>IFERROR(INDEX('ORG-Metrics'!$A$1:$U$38,MATCH($A5,'ORG-Metrics'!$A$1:$A$38,0),MATCH(S$1,'ORG-Metrics'!$1:$1,0)),"")</f>
        <v>2.9929762406901945</v>
      </c>
      <c r="T5" s="39">
        <f>IFERROR(INDEX('ORG-Metrics'!$A$1:$U$38,MATCH($A5,'ORG-Metrics'!$A$1:$A$38,0),MATCH(T$1,'ORG-Metrics'!$1:$1,0)),"")</f>
        <v>574.37669203456244</v>
      </c>
      <c r="U5" s="41">
        <f>IFERROR(INDEX('ORG-Metrics'!$A$1:$U$38,MATCH($A5,'ORG-Metrics'!$A$1:$A$38,0),MATCH(U$1,'ORG-Metrics'!$1:$1,0)),"")</f>
        <v>354.14187612483011</v>
      </c>
      <c r="W5" s="55">
        <f t="shared" si="0"/>
        <v>164002.04257985638</v>
      </c>
      <c r="X5" s="52" t="str">
        <f t="shared" si="1"/>
        <v>Medium</v>
      </c>
      <c r="Z5" s="52" t="str">
        <f t="shared" si="2"/>
        <v>Large</v>
      </c>
    </row>
    <row r="6" spans="1:26" x14ac:dyDescent="0.3">
      <c r="A6" s="30" t="str">
        <v>M</v>
      </c>
      <c r="B6" s="39">
        <f>IFERROR(INDEX('ORG-Metrics'!$A$1:$U$38,MATCH($A6,'ORG-Metrics'!$A$1:$A$38,0),MATCH(B$1,'ORG-Metrics'!$1:$1,0)),"")</f>
        <v>0.45122770157690589</v>
      </c>
      <c r="C6" s="39">
        <f>IFERROR(INDEX('ORG-Metrics'!$A$1:$U$38,MATCH($A6,'ORG-Metrics'!$A$1:$A$38,0),MATCH(C$1,'ORG-Metrics'!$1:$1,0)),"")</f>
        <v>1540.0653444097336</v>
      </c>
      <c r="D6" s="39">
        <f>IFERROR(INDEX('ORG-Metrics'!$A$1:$U$38,MATCH($A6,'ORG-Metrics'!$A$1:$A$38,0),MATCH(D$1,'ORG-Metrics'!$1:$1,0)),"")</f>
        <v>14996.46722420484</v>
      </c>
      <c r="E6" s="39">
        <f>IFERROR(INDEX('ORG-Metrics'!$A$1:$U$38,MATCH($A6,'ORG-Metrics'!$A$1:$A$38,0),MATCH(E$1,'ORG-Metrics'!$1:$1,0)),"")</f>
        <v>8.2015471937170931E-2</v>
      </c>
      <c r="F6" s="39">
        <f>IFERROR(INDEX('ORG-Metrics'!$A$1:$U$38,MATCH($A6,'ORG-Metrics'!$A$1:$A$38,0),MATCH(F$1,'ORG-Metrics'!$1:$1,0)),"")</f>
        <v>1.0472543691384031E-2</v>
      </c>
      <c r="G6" s="39">
        <f>IFERROR(INDEX('ORG-Metrics'!$A$1:$U$38,MATCH($A6,'ORG-Metrics'!$A$1:$A$38,0),MATCH(G$1,'ORG-Metrics'!$1:$1,0)),"")</f>
        <v>7.1338200110978037E-2</v>
      </c>
      <c r="H6" s="39">
        <f>IFERROR(INDEX('ORG-Metrics'!$A$1:$U$38,MATCH($A6,'ORG-Metrics'!$A$1:$A$38,0),MATCH(H$1,'ORG-Metrics'!$1:$1,0)),"")</f>
        <v>0.24978611012521007</v>
      </c>
      <c r="I6" s="39">
        <f>IFERROR(INDEX('ORG-Metrics'!$A$1:$U$38,MATCH($A6,'ORG-Metrics'!$A$1:$A$38,0),MATCH(I$1,'ORG-Metrics'!$1:$1,0)),"")</f>
        <v>4.8447979773547555E-2</v>
      </c>
      <c r="J6" s="39" t="str">
        <f>IFERROR(INDEX('ORG-Metrics'!$A$1:$U$38,MATCH($A6,'ORG-Metrics'!$A$1:$A$38,0),MATCH(J$1,'ORG-Metrics'!$1:$1,0)),"")</f>
        <v/>
      </c>
      <c r="K6" s="39">
        <f>IFERROR(INDEX('ORG-Metrics'!$A$1:$U$38,MATCH($A6,'ORG-Metrics'!$A$1:$A$38,0),MATCH(K$1,'ORG-Metrics'!$1:$1,0)),"")</f>
        <v>112986.16240456018</v>
      </c>
      <c r="L6" s="39">
        <f>IFERROR(INDEX('ORG-Metrics'!$A$1:$U$38,MATCH($A6,'ORG-Metrics'!$A$1:$A$38,0),MATCH(L$1,'ORG-Metrics'!$1:$1,0)),"")</f>
        <v>8959.3033097208172</v>
      </c>
      <c r="M6" s="39">
        <f>IFERROR(INDEX('ORG-Metrics'!$A$1:$U$38,MATCH($A6,'ORG-Metrics'!$A$1:$A$38,0),MATCH(M$1,'ORG-Metrics'!$1:$1,0)),"")</f>
        <v>118464.68672768491</v>
      </c>
      <c r="N6" s="39">
        <f>IFERROR(INDEX('ORG-Metrics'!$A$1:$U$38,MATCH($A6,'ORG-Metrics'!$A$1:$A$38,0),MATCH(N$1,'ORG-Metrics'!$1:$1,0)),"")</f>
        <v>4130.4285130653825</v>
      </c>
      <c r="O6" s="39">
        <f>IFERROR(INDEX('ORG-Metrics'!$A$1:$U$38,MATCH($A6,'ORG-Metrics'!$A$1:$A$38,0),MATCH(O$1,'ORG-Metrics'!$1:$1,0)),"")</f>
        <v>39473.111333165376</v>
      </c>
      <c r="P6" s="39">
        <f>IFERROR(INDEX('ORG-Metrics'!$A$1:$U$38,MATCH($A6,'ORG-Metrics'!$A$1:$A$38,0),MATCH(P$1,'ORG-Metrics'!$1:$1,0)),"")</f>
        <v>433.78531976127488</v>
      </c>
      <c r="Q6" s="39">
        <f>IFERROR(INDEX('ORG-Metrics'!$A$1:$U$38,MATCH($A6,'ORG-Metrics'!$A$1:$A$38,0),MATCH(Q$1,'ORG-Metrics'!$1:$1,0)),"")</f>
        <v>277.66902672687809</v>
      </c>
      <c r="R6" s="39">
        <f>IFERROR(INDEX('ORG-Metrics'!$A$1:$U$38,MATCH($A6,'ORG-Metrics'!$A$1:$A$38,0),MATCH(R$1,'ORG-Metrics'!$1:$1,0)),"")</f>
        <v>133.6677925318921</v>
      </c>
      <c r="S6" s="39">
        <f>IFERROR(INDEX('ORG-Metrics'!$A$1:$U$38,MATCH($A6,'ORG-Metrics'!$A$1:$A$38,0),MATCH(S$1,'ORG-Metrics'!$1:$1,0)),"")</f>
        <v>1.1123138167123465</v>
      </c>
      <c r="T6" s="39">
        <f>IFERROR(INDEX('ORG-Metrics'!$A$1:$U$38,MATCH($A6,'ORG-Metrics'!$A$1:$A$38,0),MATCH(T$1,'ORG-Metrics'!$1:$1,0)),"")</f>
        <v>368.08825884760677</v>
      </c>
      <c r="U6" s="41">
        <f>IFERROR(INDEX('ORG-Metrics'!$A$1:$U$38,MATCH($A6,'ORG-Metrics'!$A$1:$A$38,0),MATCH(U$1,'ORG-Metrics'!$1:$1,0)),"")</f>
        <v>207.71173015583</v>
      </c>
      <c r="W6" s="55">
        <f t="shared" si="0"/>
        <v>270923.96046541049</v>
      </c>
      <c r="X6" s="52" t="str">
        <f t="shared" si="1"/>
        <v>Large</v>
      </c>
      <c r="Z6" s="52" t="str">
        <f t="shared" si="2"/>
        <v>Large</v>
      </c>
    </row>
    <row r="7" spans="1:26" x14ac:dyDescent="0.3">
      <c r="A7" s="30" t="str">
        <v>Q</v>
      </c>
      <c r="B7" s="39">
        <f>IFERROR(INDEX('ORG-Metrics'!$A$1:$U$38,MATCH($A7,'ORG-Metrics'!$A$1:$A$38,0),MATCH(B$1,'ORG-Metrics'!$1:$1,0)),"")</f>
        <v>0.46792321308883378</v>
      </c>
      <c r="C7" s="39">
        <f>IFERROR(INDEX('ORG-Metrics'!$A$1:$U$38,MATCH($A7,'ORG-Metrics'!$A$1:$A$38,0),MATCH(C$1,'ORG-Metrics'!$1:$1,0)),"")</f>
        <v>1477.0929263948281</v>
      </c>
      <c r="D7" s="39">
        <f>IFERROR(INDEX('ORG-Metrics'!$A$1:$U$38,MATCH($A7,'ORG-Metrics'!$A$1:$A$38,0),MATCH(D$1,'ORG-Metrics'!$1:$1,0)),"")</f>
        <v>13691.167650458188</v>
      </c>
      <c r="E7" s="39">
        <f>IFERROR(INDEX('ORG-Metrics'!$A$1:$U$38,MATCH($A7,'ORG-Metrics'!$A$1:$A$38,0),MATCH(E$1,'ORG-Metrics'!$1:$1,0)),"")</f>
        <v>7.1962538356044756E-2</v>
      </c>
      <c r="F7" s="39">
        <f>IFERROR(INDEX('ORG-Metrics'!$A$1:$U$38,MATCH($A7,'ORG-Metrics'!$A$1:$A$38,0),MATCH(F$1,'ORG-Metrics'!$1:$1,0)),"")</f>
        <v>2.7362975552136262E-2</v>
      </c>
      <c r="G7" s="39">
        <f>IFERROR(INDEX('ORG-Metrics'!$A$1:$U$38,MATCH($A7,'ORG-Metrics'!$A$1:$A$38,0),MATCH(G$1,'ORG-Metrics'!$1:$1,0)),"")</f>
        <v>0.10141899205986599</v>
      </c>
      <c r="H7" s="39">
        <f>IFERROR(INDEX('ORG-Metrics'!$A$1:$U$38,MATCH($A7,'ORG-Metrics'!$A$1:$A$38,0),MATCH(H$1,'ORG-Metrics'!$1:$1,0)),"")</f>
        <v>0.27361468155686525</v>
      </c>
      <c r="I7" s="39">
        <f>IFERROR(INDEX('ORG-Metrics'!$A$1:$U$38,MATCH($A7,'ORG-Metrics'!$A$1:$A$38,0),MATCH(I$1,'ORG-Metrics'!$1:$1,0)),"")</f>
        <v>2.02141207209415E-2</v>
      </c>
      <c r="J7" s="39">
        <f>IFERROR(INDEX('ORG-Metrics'!$A$1:$U$38,MATCH($A7,'ORG-Metrics'!$A$1:$A$38,0),MATCH(J$1,'ORG-Metrics'!$1:$1,0)),"")</f>
        <v>0</v>
      </c>
      <c r="K7" s="39">
        <f>IFERROR(INDEX('ORG-Metrics'!$A$1:$U$38,MATCH($A7,'ORG-Metrics'!$A$1:$A$38,0),MATCH(K$1,'ORG-Metrics'!$1:$1,0)),"")</f>
        <v>98189.220860870802</v>
      </c>
      <c r="L7" s="39">
        <f>IFERROR(INDEX('ORG-Metrics'!$A$1:$U$38,MATCH($A7,'ORG-Metrics'!$A$1:$A$38,0),MATCH(L$1,'ORG-Metrics'!$1:$1,0)),"")</f>
        <v>20366.449916912559</v>
      </c>
      <c r="M7" s="39">
        <f>IFERROR(INDEX('ORG-Metrics'!$A$1:$U$38,MATCH($A7,'ORG-Metrics'!$A$1:$A$38,0),MATCH(M$1,'ORG-Metrics'!$1:$1,0)),"")</f>
        <v>137242.16054792239</v>
      </c>
      <c r="N7" s="39">
        <f>IFERROR(INDEX('ORG-Metrics'!$A$1:$U$38,MATCH($A7,'ORG-Metrics'!$A$1:$A$38,0),MATCH(N$1,'ORG-Metrics'!$1:$1,0)),"")</f>
        <v>11810.666644880419</v>
      </c>
      <c r="O7" s="39">
        <f>IFERROR(INDEX('ORG-Metrics'!$A$1:$U$38,MATCH($A7,'ORG-Metrics'!$A$1:$A$38,0),MATCH(O$1,'ORG-Metrics'!$1:$1,0)),"")</f>
        <v>19435.30746687538</v>
      </c>
      <c r="P7" s="39">
        <f>IFERROR(INDEX('ORG-Metrics'!$A$1:$U$38,MATCH($A7,'ORG-Metrics'!$A$1:$A$38,0),MATCH(P$1,'ORG-Metrics'!$1:$1,0)),"")</f>
        <v>3352.2883600629084</v>
      </c>
      <c r="Q7" s="39">
        <f>IFERROR(INDEX('ORG-Metrics'!$A$1:$U$38,MATCH($A7,'ORG-Metrics'!$A$1:$A$38,0),MATCH(Q$1,'ORG-Metrics'!$1:$1,0)),"")</f>
        <v>346.13338839179994</v>
      </c>
      <c r="R7" s="39">
        <f>IFERROR(INDEX('ORG-Metrics'!$A$1:$U$38,MATCH($A7,'ORG-Metrics'!$A$1:$A$38,0),MATCH(R$1,'ORG-Metrics'!$1:$1,0)),"")</f>
        <v>71.427507094925573</v>
      </c>
      <c r="S7" s="39">
        <f>IFERROR(INDEX('ORG-Metrics'!$A$1:$U$38,MATCH($A7,'ORG-Metrics'!$A$1:$A$38,0),MATCH(S$1,'ORG-Metrics'!$1:$1,0)),"")</f>
        <v>0.98364474087481724</v>
      </c>
      <c r="T7" s="39">
        <f>IFERROR(INDEX('ORG-Metrics'!$A$1:$U$38,MATCH($A7,'ORG-Metrics'!$A$1:$A$38,0),MATCH(T$1,'ORG-Metrics'!$1:$1,0)),"")</f>
        <v>62.773392182899201</v>
      </c>
      <c r="U7" s="41">
        <f>IFERROR(INDEX('ORG-Metrics'!$A$1:$U$38,MATCH($A7,'ORG-Metrics'!$A$1:$A$38,0),MATCH(U$1,'ORG-Metrics'!$1:$1,0)),"")</f>
        <v>33.134158827172868</v>
      </c>
      <c r="W7" s="55">
        <f t="shared" si="0"/>
        <v>254866.68887566859</v>
      </c>
      <c r="X7" s="52" t="str">
        <f t="shared" si="1"/>
        <v>Large</v>
      </c>
      <c r="Z7" s="52" t="str">
        <f t="shared" si="2"/>
        <v>Large</v>
      </c>
    </row>
    <row r="8" spans="1:26" x14ac:dyDescent="0.3">
      <c r="A8" s="30" t="str">
        <v>Z</v>
      </c>
      <c r="B8" s="39">
        <f>IFERROR(INDEX('ORG-Metrics'!$A$1:$U$38,MATCH($A8,'ORG-Metrics'!$A$1:$A$38,0),MATCH(B$1,'ORG-Metrics'!$1:$1,0)),"")</f>
        <v>0.46503049816055836</v>
      </c>
      <c r="C8" s="39">
        <f>IFERROR(INDEX('ORG-Metrics'!$A$1:$U$38,MATCH($A8,'ORG-Metrics'!$A$1:$A$38,0),MATCH(C$1,'ORG-Metrics'!$1:$1,0)),"")</f>
        <v>1476.1021500887864</v>
      </c>
      <c r="D8" s="39">
        <f>IFERROR(INDEX('ORG-Metrics'!$A$1:$U$38,MATCH($A8,'ORG-Metrics'!$A$1:$A$38,0),MATCH(D$1,'ORG-Metrics'!$1:$1,0)),"")</f>
        <v>16667.597709999853</v>
      </c>
      <c r="E8" s="39">
        <f>IFERROR(INDEX('ORG-Metrics'!$A$1:$U$38,MATCH($A8,'ORG-Metrics'!$A$1:$A$38,0),MATCH(E$1,'ORG-Metrics'!$1:$1,0)),"")</f>
        <v>7.391625602514873E-2</v>
      </c>
      <c r="F8" s="39">
        <f>IFERROR(INDEX('ORG-Metrics'!$A$1:$U$38,MATCH($A8,'ORG-Metrics'!$A$1:$A$38,0),MATCH(F$1,'ORG-Metrics'!$1:$1,0)),"")</f>
        <v>1.9987570555685875E-2</v>
      </c>
      <c r="G8" s="39">
        <f>IFERROR(INDEX('ORG-Metrics'!$A$1:$U$38,MATCH($A8,'ORG-Metrics'!$A$1:$A$38,0),MATCH(G$1,'ORG-Metrics'!$1:$1,0)),"")</f>
        <v>0.12140663131931603</v>
      </c>
      <c r="H8" s="39">
        <f>IFERROR(INDEX('ORG-Metrics'!$A$1:$U$38,MATCH($A8,'ORG-Metrics'!$A$1:$A$38,0),MATCH(H$1,'ORG-Metrics'!$1:$1,0)),"")</f>
        <v>0.29518270170808852</v>
      </c>
      <c r="I8" s="39">
        <f>IFERROR(INDEX('ORG-Metrics'!$A$1:$U$38,MATCH($A8,'ORG-Metrics'!$A$1:$A$38,0),MATCH(I$1,'ORG-Metrics'!$1:$1,0)),"")</f>
        <v>2.8725581353840443E-2</v>
      </c>
      <c r="J8" s="39">
        <f>IFERROR(INDEX('ORG-Metrics'!$A$1:$U$38,MATCH($A8,'ORG-Metrics'!$A$1:$A$38,0),MATCH(J$1,'ORG-Metrics'!$1:$1,0)),"")</f>
        <v>0.34628541040012822</v>
      </c>
      <c r="K8" s="39">
        <f>IFERROR(INDEX('ORG-Metrics'!$A$1:$U$38,MATCH($A8,'ORG-Metrics'!$A$1:$A$38,0),MATCH(K$1,'ORG-Metrics'!$1:$1,0)),"")</f>
        <v>179034.03277100634</v>
      </c>
      <c r="L8" s="39">
        <f>IFERROR(INDEX('ORG-Metrics'!$A$1:$U$38,MATCH($A8,'ORG-Metrics'!$A$1:$A$38,0),MATCH(L$1,'ORG-Metrics'!$1:$1,0)),"")</f>
        <v>31682.21188316671</v>
      </c>
      <c r="M8" s="39">
        <f>IFERROR(INDEX('ORG-Metrics'!$A$1:$U$38,MATCH($A8,'ORG-Metrics'!$A$1:$A$38,0),MATCH(M$1,'ORG-Metrics'!$1:$1,0)),"")</f>
        <v>148288.37601287768</v>
      </c>
      <c r="N8" s="39">
        <f>IFERROR(INDEX('ORG-Metrics'!$A$1:$U$38,MATCH($A8,'ORG-Metrics'!$A$1:$A$38,0),MATCH(N$1,'ORG-Metrics'!$1:$1,0)),"")</f>
        <v>13562.442801231638</v>
      </c>
      <c r="O8" s="39">
        <f>IFERROR(INDEX('ORG-Metrics'!$A$1:$U$38,MATCH($A8,'ORG-Metrics'!$A$1:$A$38,0),MATCH(O$1,'ORG-Metrics'!$1:$1,0)),"")</f>
        <v>1745.7909185894623</v>
      </c>
      <c r="P8" s="39">
        <f>IFERROR(INDEX('ORG-Metrics'!$A$1:$U$38,MATCH($A8,'ORG-Metrics'!$A$1:$A$38,0),MATCH(P$1,'ORG-Metrics'!$1:$1,0)),"")</f>
        <v>159.70002866654309</v>
      </c>
      <c r="Q8" s="39">
        <f>IFERROR(INDEX('ORG-Metrics'!$A$1:$U$38,MATCH($A8,'ORG-Metrics'!$A$1:$A$38,0),MATCH(Q$1,'ORG-Metrics'!$1:$1,0)),"")</f>
        <v>373.85537442078197</v>
      </c>
      <c r="R8" s="39">
        <f>IFERROR(INDEX('ORG-Metrics'!$A$1:$U$38,MATCH($A8,'ORG-Metrics'!$A$1:$A$38,0),MATCH(R$1,'ORG-Metrics'!$1:$1,0)),"")</f>
        <v>146.5543246975808</v>
      </c>
      <c r="S8" s="39">
        <f>IFERROR(INDEX('ORG-Metrics'!$A$1:$U$38,MATCH($A8,'ORG-Metrics'!$A$1:$A$38,0),MATCH(S$1,'ORG-Metrics'!$1:$1,0)),"")</f>
        <v>1.5543380589129157</v>
      </c>
      <c r="T8" s="39">
        <f>IFERROR(INDEX('ORG-Metrics'!$A$1:$U$38,MATCH($A8,'ORG-Metrics'!$A$1:$A$38,0),MATCH(T$1,'ORG-Metrics'!$1:$1,0)),"")</f>
        <v>404.36290176052881</v>
      </c>
      <c r="U8" s="41">
        <f>IFERROR(INDEX('ORG-Metrics'!$A$1:$U$38,MATCH($A8,'ORG-Metrics'!$A$1:$A$38,0),MATCH(U$1,'ORG-Metrics'!$1:$1,0)),"")</f>
        <v>277.40407277245487</v>
      </c>
      <c r="W8" s="55">
        <f t="shared" si="0"/>
        <v>329068.19970247347</v>
      </c>
      <c r="X8" s="52" t="str">
        <f t="shared" si="1"/>
        <v>Large</v>
      </c>
      <c r="Z8" s="52" t="str">
        <f t="shared" si="2"/>
        <v>Large</v>
      </c>
    </row>
    <row r="9" spans="1:26" x14ac:dyDescent="0.3">
      <c r="A9" s="30" t="str">
        <v>AG</v>
      </c>
      <c r="B9" s="39">
        <f>IFERROR(INDEX('ORG-Metrics'!$A$1:$U$38,MATCH($A9,'ORG-Metrics'!$A$1:$A$38,0),MATCH(B$1,'ORG-Metrics'!$1:$1,0)),"")</f>
        <v>0.44314805386162148</v>
      </c>
      <c r="C9" s="39">
        <f>IFERROR(INDEX('ORG-Metrics'!$A$1:$U$38,MATCH($A9,'ORG-Metrics'!$A$1:$A$38,0),MATCH(C$1,'ORG-Metrics'!$1:$1,0)),"")</f>
        <v>1463.2495395004203</v>
      </c>
      <c r="D9" s="39">
        <f>IFERROR(INDEX('ORG-Metrics'!$A$1:$U$38,MATCH($A9,'ORG-Metrics'!$A$1:$A$38,0),MATCH(D$1,'ORG-Metrics'!$1:$1,0)),"")</f>
        <v>8898.3562478568801</v>
      </c>
      <c r="E9" s="39">
        <f>IFERROR(INDEX('ORG-Metrics'!$A$1:$U$38,MATCH($A9,'ORG-Metrics'!$A$1:$A$38,0),MATCH(E$1,'ORG-Metrics'!$1:$1,0)),"")</f>
        <v>7.9042373553420572E-2</v>
      </c>
      <c r="F9" s="39">
        <f>IFERROR(INDEX('ORG-Metrics'!$A$1:$U$38,MATCH($A9,'ORG-Metrics'!$A$1:$A$38,0),MATCH(F$1,'ORG-Metrics'!$1:$1,0)),"")</f>
        <v>2.9109498833817982E-3</v>
      </c>
      <c r="G9" s="39">
        <f>IFERROR(INDEX('ORG-Metrics'!$A$1:$U$38,MATCH($A9,'ORG-Metrics'!$A$1:$A$38,0),MATCH(G$1,'ORG-Metrics'!$1:$1,0)),"")</f>
        <v>6.9941090468523287E-2</v>
      </c>
      <c r="H9" s="39">
        <f>IFERROR(INDEX('ORG-Metrics'!$A$1:$U$38,MATCH($A9,'ORG-Metrics'!$A$1:$A$38,0),MATCH(H$1,'ORG-Metrics'!$1:$1,0)),"")</f>
        <v>0.26871149848602188</v>
      </c>
      <c r="I9" s="39">
        <f>IFERROR(INDEX('ORG-Metrics'!$A$1:$U$38,MATCH($A9,'ORG-Metrics'!$A$1:$A$38,0),MATCH(I$1,'ORG-Metrics'!$1:$1,0)),"")</f>
        <v>3.2334993177036871E-2</v>
      </c>
      <c r="J9" s="39">
        <f>IFERROR(INDEX('ORG-Metrics'!$A$1:$U$38,MATCH($A9,'ORG-Metrics'!$A$1:$A$38,0),MATCH(J$1,'ORG-Metrics'!$1:$1,0)),"")</f>
        <v>0.30987692995021276</v>
      </c>
      <c r="K9" s="39">
        <f>IFERROR(INDEX('ORG-Metrics'!$A$1:$U$38,MATCH($A9,'ORG-Metrics'!$A$1:$A$38,0),MATCH(K$1,'ORG-Metrics'!$1:$1,0)),"")</f>
        <v>92719.720550985861</v>
      </c>
      <c r="L9" s="39">
        <f>IFERROR(INDEX('ORG-Metrics'!$A$1:$U$38,MATCH($A9,'ORG-Metrics'!$A$1:$A$38,0),MATCH(L$1,'ORG-Metrics'!$1:$1,0)),"")</f>
        <v>14998.125635205677</v>
      </c>
      <c r="M9" s="39">
        <f>IFERROR(INDEX('ORG-Metrics'!$A$1:$U$38,MATCH($A9,'ORG-Metrics'!$A$1:$A$38,0),MATCH(M$1,'ORG-Metrics'!$1:$1,0)),"")</f>
        <v>73110.389833408321</v>
      </c>
      <c r="N9" s="39">
        <f>IFERROR(INDEX('ORG-Metrics'!$A$1:$U$38,MATCH($A9,'ORG-Metrics'!$A$1:$A$38,0),MATCH(N$1,'ORG-Metrics'!$1:$1,0)),"")</f>
        <v>5603.147860128397</v>
      </c>
      <c r="O9" s="39">
        <f>IFERROR(INDEX('ORG-Metrics'!$A$1:$U$38,MATCH($A9,'ORG-Metrics'!$A$1:$A$38,0),MATCH(O$1,'ORG-Metrics'!$1:$1,0)),"")</f>
        <v>34490.292858833578</v>
      </c>
      <c r="P9" s="39">
        <f>IFERROR(INDEX('ORG-Metrics'!$A$1:$U$38,MATCH($A9,'ORG-Metrics'!$A$1:$A$38,0),MATCH(P$1,'ORG-Metrics'!$1:$1,0)),"")</f>
        <v>1436.6015373105145</v>
      </c>
      <c r="Q9" s="39">
        <f>IFERROR(INDEX('ORG-Metrics'!$A$1:$U$38,MATCH($A9,'ORG-Metrics'!$A$1:$A$38,0),MATCH(Q$1,'ORG-Metrics'!$1:$1,0)),"")</f>
        <v>265.43938796482155</v>
      </c>
      <c r="R9" s="39">
        <f>IFERROR(INDEX('ORG-Metrics'!$A$1:$U$38,MATCH($A9,'ORG-Metrics'!$A$1:$A$38,0),MATCH(R$1,'ORG-Metrics'!$1:$1,0)),"")</f>
        <v>93.101465282901543</v>
      </c>
      <c r="S9" s="39">
        <f>IFERROR(INDEX('ORG-Metrics'!$A$1:$U$38,MATCH($A9,'ORG-Metrics'!$A$1:$A$38,0),MATCH(S$1,'ORG-Metrics'!$1:$1,0)),"")</f>
        <v>1.2047657720091531</v>
      </c>
      <c r="T9" s="39">
        <f>IFERROR(INDEX('ORG-Metrics'!$A$1:$U$38,MATCH($A9,'ORG-Metrics'!$A$1:$A$38,0),MATCH(T$1,'ORG-Metrics'!$1:$1,0)),"")</f>
        <v>143.13228054309161</v>
      </c>
      <c r="U9" s="41">
        <f>IFERROR(INDEX('ORG-Metrics'!$A$1:$U$38,MATCH($A9,'ORG-Metrics'!$A$1:$A$38,0),MATCH(U$1,'ORG-Metrics'!$1:$1,0)),"")</f>
        <v>83.177760110158459</v>
      </c>
      <c r="W9" s="55">
        <f t="shared" si="0"/>
        <v>200320.40324322775</v>
      </c>
      <c r="X9" s="52" t="str">
        <f t="shared" si="1"/>
        <v>Medium</v>
      </c>
      <c r="Z9" s="52" t="str">
        <f t="shared" si="2"/>
        <v>Medium</v>
      </c>
    </row>
    <row r="10" spans="1:26" x14ac:dyDescent="0.3">
      <c r="A10" s="30" t="str">
        <v>AI</v>
      </c>
      <c r="B10" s="39">
        <f>IFERROR(INDEX('ORG-Metrics'!$A$1:$U$38,MATCH($A10,'ORG-Metrics'!$A$1:$A$38,0),MATCH(B$1,'ORG-Metrics'!$1:$1,0)),"")</f>
        <v>0.42870825960644365</v>
      </c>
      <c r="C10" s="39">
        <f>IFERROR(INDEX('ORG-Metrics'!$A$1:$U$38,MATCH($A10,'ORG-Metrics'!$A$1:$A$38,0),MATCH(C$1,'ORG-Metrics'!$1:$1,0)),"")</f>
        <v>1545.9886457675468</v>
      </c>
      <c r="D10" s="39">
        <f>IFERROR(INDEX('ORG-Metrics'!$A$1:$U$38,MATCH($A10,'ORG-Metrics'!$A$1:$A$38,0),MATCH(D$1,'ORG-Metrics'!$1:$1,0)),"")</f>
        <v>7603.1600904970328</v>
      </c>
      <c r="E10" s="39">
        <f>IFERROR(INDEX('ORG-Metrics'!$A$1:$U$38,MATCH($A10,'ORG-Metrics'!$A$1:$A$38,0),MATCH(E$1,'ORG-Metrics'!$1:$1,0)),"")</f>
        <v>7.1834561451956824E-2</v>
      </c>
      <c r="F10" s="39">
        <f>IFERROR(INDEX('ORG-Metrics'!$A$1:$U$38,MATCH($A10,'ORG-Metrics'!$A$1:$A$38,0),MATCH(F$1,'ORG-Metrics'!$1:$1,0)),"")</f>
        <v>1.919876232639639E-2</v>
      </c>
      <c r="G10" s="39">
        <f>IFERROR(INDEX('ORG-Metrics'!$A$1:$U$38,MATCH($A10,'ORG-Metrics'!$A$1:$A$38,0),MATCH(G$1,'ORG-Metrics'!$1:$1,0)),"")</f>
        <v>0.10623099272066508</v>
      </c>
      <c r="H10" s="39">
        <f>IFERROR(INDEX('ORG-Metrics'!$A$1:$U$38,MATCH($A10,'ORG-Metrics'!$A$1:$A$38,0),MATCH(H$1,'ORG-Metrics'!$1:$1,0)),"")</f>
        <v>0.27853482968948379</v>
      </c>
      <c r="I10" s="39">
        <f>IFERROR(INDEX('ORG-Metrics'!$A$1:$U$38,MATCH($A10,'ORG-Metrics'!$A$1:$A$38,0),MATCH(I$1,'ORG-Metrics'!$1:$1,0)),"")</f>
        <v>2.985640458698318E-2</v>
      </c>
      <c r="J10" s="39">
        <f>IFERROR(INDEX('ORG-Metrics'!$A$1:$U$38,MATCH($A10,'ORG-Metrics'!$A$1:$A$38,0),MATCH(J$1,'ORG-Metrics'!$1:$1,0)),"")</f>
        <v>0.18681481775843531</v>
      </c>
      <c r="K10" s="39">
        <f>IFERROR(INDEX('ORG-Metrics'!$A$1:$U$38,MATCH($A10,'ORG-Metrics'!$A$1:$A$38,0),MATCH(K$1,'ORG-Metrics'!$1:$1,0)),"")</f>
        <v>63668.552938072324</v>
      </c>
      <c r="L10" s="39">
        <f>IFERROR(INDEX('ORG-Metrics'!$A$1:$U$38,MATCH($A10,'ORG-Metrics'!$A$1:$A$38,0),MATCH(L$1,'ORG-Metrics'!$1:$1,0)),"")</f>
        <v>2305.0053497429753</v>
      </c>
      <c r="M10" s="39">
        <f>IFERROR(INDEX('ORG-Metrics'!$A$1:$U$38,MATCH($A10,'ORG-Metrics'!$A$1:$A$38,0),MATCH(M$1,'ORG-Metrics'!$1:$1,0)),"")</f>
        <v>66839.089557020372</v>
      </c>
      <c r="N10" s="39">
        <f>IFERROR(INDEX('ORG-Metrics'!$A$1:$U$38,MATCH($A10,'ORG-Metrics'!$A$1:$A$38,0),MATCH(N$1,'ORG-Metrics'!$1:$1,0)),"")</f>
        <v>1588.4735293438393</v>
      </c>
      <c r="O10" s="39">
        <f>IFERROR(INDEX('ORG-Metrics'!$A$1:$U$38,MATCH($A10,'ORG-Metrics'!$A$1:$A$38,0),MATCH(O$1,'ORG-Metrics'!$1:$1,0)),"")</f>
        <v>11424.275006297594</v>
      </c>
      <c r="P10" s="39">
        <f>IFERROR(INDEX('ORG-Metrics'!$A$1:$U$38,MATCH($A10,'ORG-Metrics'!$A$1:$A$38,0),MATCH(P$1,'ORG-Metrics'!$1:$1,0)),"")</f>
        <v>1360.4521055165101</v>
      </c>
      <c r="Q10" s="39">
        <f>IFERROR(INDEX('ORG-Metrics'!$A$1:$U$38,MATCH($A10,'ORG-Metrics'!$A$1:$A$38,0),MATCH(Q$1,'ORG-Metrics'!$1:$1,0)),"")</f>
        <v>88.330703562953232</v>
      </c>
      <c r="R10" s="39">
        <f>IFERROR(INDEX('ORG-Metrics'!$A$1:$U$38,MATCH($A10,'ORG-Metrics'!$A$1:$A$38,0),MATCH(R$1,'ORG-Metrics'!$1:$1,0)),"")</f>
        <v>36.391398934855388</v>
      </c>
      <c r="S10" s="39">
        <f>IFERROR(INDEX('ORG-Metrics'!$A$1:$U$38,MATCH($A10,'ORG-Metrics'!$A$1:$A$38,0),MATCH(S$1,'ORG-Metrics'!$1:$1,0)),"")</f>
        <v>0.39042938300758284</v>
      </c>
      <c r="T10" s="39">
        <f>IFERROR(INDEX('ORG-Metrics'!$A$1:$U$38,MATCH($A10,'ORG-Metrics'!$A$1:$A$38,0),MATCH(T$1,'ORG-Metrics'!$1:$1,0)),"")</f>
        <v>40.7301702762554</v>
      </c>
      <c r="U10" s="41">
        <f>IFERROR(INDEX('ORG-Metrics'!$A$1:$U$38,MATCH($A10,'ORG-Metrics'!$A$1:$A$38,0),MATCH(U$1,'ORG-Metrics'!$1:$1,0)),"")</f>
        <v>24.473594802571746</v>
      </c>
      <c r="W10" s="55">
        <f t="shared" si="0"/>
        <v>141931.9175013903</v>
      </c>
      <c r="X10" s="52" t="str">
        <f t="shared" si="1"/>
        <v>Medium</v>
      </c>
      <c r="Z10" s="52" t="str">
        <f t="shared" si="2"/>
        <v>Medium</v>
      </c>
    </row>
    <row r="11" spans="1:26" x14ac:dyDescent="0.3">
      <c r="A11" s="30" t="str">
        <v>G</v>
      </c>
      <c r="B11" s="39">
        <f>IFERROR(INDEX('ORG-Metrics'!$A$1:$U$38,MATCH($A11,'ORG-Metrics'!$A$1:$A$38,0),MATCH(B$1,'ORG-Metrics'!$1:$1,0)),"")</f>
        <v>0.4460675128620315</v>
      </c>
      <c r="C11" s="39">
        <f>IFERROR(INDEX('ORG-Metrics'!$A$1:$U$38,MATCH($A11,'ORG-Metrics'!$A$1:$A$38,0),MATCH(C$1,'ORG-Metrics'!$1:$1,0)),"")</f>
        <v>1564.332759418515</v>
      </c>
      <c r="D11" s="39">
        <f>IFERROR(INDEX('ORG-Metrics'!$A$1:$U$38,MATCH($A11,'ORG-Metrics'!$A$1:$A$38,0),MATCH(D$1,'ORG-Metrics'!$1:$1,0)),"")</f>
        <v>9291.8729619525839</v>
      </c>
      <c r="E11" s="39">
        <f>IFERROR(INDEX('ORG-Metrics'!$A$1:$U$38,MATCH($A11,'ORG-Metrics'!$A$1:$A$38,0),MATCH(E$1,'ORG-Metrics'!$1:$1,0)),"")</f>
        <v>7.4626615390460657E-2</v>
      </c>
      <c r="F11" s="39">
        <f>IFERROR(INDEX('ORG-Metrics'!$A$1:$U$38,MATCH($A11,'ORG-Metrics'!$A$1:$A$38,0),MATCH(F$1,'ORG-Metrics'!$1:$1,0)),"")</f>
        <v>3.1142700132462165E-2</v>
      </c>
      <c r="G11" s="39">
        <f>IFERROR(INDEX('ORG-Metrics'!$A$1:$U$38,MATCH($A11,'ORG-Metrics'!$A$1:$A$38,0),MATCH(G$1,'ORG-Metrics'!$1:$1,0)),"")</f>
        <v>4.5801944040405204E-2</v>
      </c>
      <c r="H11" s="39">
        <f>IFERROR(INDEX('ORG-Metrics'!$A$1:$U$38,MATCH($A11,'ORG-Metrics'!$A$1:$A$38,0),MATCH(H$1,'ORG-Metrics'!$1:$1,0)),"")</f>
        <v>0.12760673266833575</v>
      </c>
      <c r="I11" s="39">
        <f>IFERROR(INDEX('ORG-Metrics'!$A$1:$U$38,MATCH($A11,'ORG-Metrics'!$A$1:$A$38,0),MATCH(I$1,'ORG-Metrics'!$1:$1,0)),"")</f>
        <v>1.5308747305609539E-2</v>
      </c>
      <c r="J11" s="39">
        <f>IFERROR(INDEX('ORG-Metrics'!$A$1:$U$38,MATCH($A11,'ORG-Metrics'!$A$1:$A$38,0),MATCH(J$1,'ORG-Metrics'!$1:$1,0)),"")</f>
        <v>0.20193644609214195</v>
      </c>
      <c r="K11" s="39">
        <f>IFERROR(INDEX('ORG-Metrics'!$A$1:$U$38,MATCH($A11,'ORG-Metrics'!$A$1:$A$38,0),MATCH(K$1,'ORG-Metrics'!$1:$1,0)),"")</f>
        <v>99230.745322473696</v>
      </c>
      <c r="L11" s="39">
        <f>IFERROR(INDEX('ORG-Metrics'!$A$1:$U$38,MATCH($A11,'ORG-Metrics'!$A$1:$A$38,0),MATCH(L$1,'ORG-Metrics'!$1:$1,0)),"")</f>
        <v>15125.858513062894</v>
      </c>
      <c r="M11" s="39">
        <f>IFERROR(INDEX('ORG-Metrics'!$A$1:$U$38,MATCH($A11,'ORG-Metrics'!$A$1:$A$38,0),MATCH(M$1,'ORG-Metrics'!$1:$1,0)),"")</f>
        <v>86466.088970960147</v>
      </c>
      <c r="N11" s="39">
        <f>IFERROR(INDEX('ORG-Metrics'!$A$1:$U$38,MATCH($A11,'ORG-Metrics'!$A$1:$A$38,0),MATCH(N$1,'ORG-Metrics'!$1:$1,0)),"")</f>
        <v>3920.8454642632837</v>
      </c>
      <c r="O11" s="39">
        <f>IFERROR(INDEX('ORG-Metrics'!$A$1:$U$38,MATCH($A11,'ORG-Metrics'!$A$1:$A$38,0),MATCH(O$1,'ORG-Metrics'!$1:$1,0)),"")</f>
        <v>19691.831045216877</v>
      </c>
      <c r="P11" s="39">
        <f>IFERROR(INDEX('ORG-Metrics'!$A$1:$U$38,MATCH($A11,'ORG-Metrics'!$A$1:$A$38,0),MATCH(P$1,'ORG-Metrics'!$1:$1,0)),"")</f>
        <v>272.61818336155409</v>
      </c>
      <c r="Q11" s="39">
        <f>IFERROR(INDEX('ORG-Metrics'!$A$1:$U$38,MATCH($A11,'ORG-Metrics'!$A$1:$A$38,0),MATCH(Q$1,'ORG-Metrics'!$1:$1,0)),"")</f>
        <v>410.58181666261288</v>
      </c>
      <c r="R11" s="39">
        <f>IFERROR(INDEX('ORG-Metrics'!$A$1:$U$38,MATCH($A11,'ORG-Metrics'!$A$1:$A$38,0),MATCH(R$1,'ORG-Metrics'!$1:$1,0)),"")</f>
        <v>250.52300278751096</v>
      </c>
      <c r="S11" s="39">
        <f>IFERROR(INDEX('ORG-Metrics'!$A$1:$U$38,MATCH($A11,'ORG-Metrics'!$A$1:$A$38,0),MATCH(S$1,'ORG-Metrics'!$1:$1,0)),"")</f>
        <v>1.0888957544491238</v>
      </c>
      <c r="T11" s="39">
        <f>IFERROR(INDEX('ORG-Metrics'!$A$1:$U$38,MATCH($A11,'ORG-Metrics'!$A$1:$A$38,0),MATCH(T$1,'ORG-Metrics'!$1:$1,0)),"")</f>
        <v>160.13259179900675</v>
      </c>
      <c r="U11" s="41">
        <f>IFERROR(INDEX('ORG-Metrics'!$A$1:$U$38,MATCH($A11,'ORG-Metrics'!$A$1:$A$38,0),MATCH(U$1,'ORG-Metrics'!$1:$1,0)),"")</f>
        <v>80.966566785192413</v>
      </c>
      <c r="W11" s="55">
        <f t="shared" si="0"/>
        <v>205388.66533865072</v>
      </c>
      <c r="X11" s="52" t="str">
        <f t="shared" si="1"/>
        <v>Medium</v>
      </c>
      <c r="Z11" s="52" t="str">
        <f t="shared" si="2"/>
        <v>Medium</v>
      </c>
    </row>
    <row r="12" spans="1:26" x14ac:dyDescent="0.3">
      <c r="A12" s="30" t="str">
        <v>K</v>
      </c>
      <c r="B12" s="39">
        <f>IFERROR(INDEX('ORG-Metrics'!$A$1:$U$38,MATCH($A12,'ORG-Metrics'!$A$1:$A$38,0),MATCH(B$1,'ORG-Metrics'!$1:$1,0)),"")</f>
        <v>0.43263464581620215</v>
      </c>
      <c r="C12" s="39">
        <f>IFERROR(INDEX('ORG-Metrics'!$A$1:$U$38,MATCH($A12,'ORG-Metrics'!$A$1:$A$38,0),MATCH(C$1,'ORG-Metrics'!$1:$1,0)),"")</f>
        <v>1579.4468608353577</v>
      </c>
      <c r="D12" s="39">
        <f>IFERROR(INDEX('ORG-Metrics'!$A$1:$U$38,MATCH($A12,'ORG-Metrics'!$A$1:$A$38,0),MATCH(D$1,'ORG-Metrics'!$1:$1,0)),"")</f>
        <v>9624.2355048201262</v>
      </c>
      <c r="E12" s="39">
        <f>IFERROR(INDEX('ORG-Metrics'!$A$1:$U$38,MATCH($A12,'ORG-Metrics'!$A$1:$A$38,0),MATCH(E$1,'ORG-Metrics'!$1:$1,0)),"")</f>
        <v>5.95140169688484E-2</v>
      </c>
      <c r="F12" s="39">
        <f>IFERROR(INDEX('ORG-Metrics'!$A$1:$U$38,MATCH($A12,'ORG-Metrics'!$A$1:$A$38,0),MATCH(F$1,'ORG-Metrics'!$1:$1,0)),"")</f>
        <v>1.8416301920250244E-2</v>
      </c>
      <c r="G12" s="39">
        <f>IFERROR(INDEX('ORG-Metrics'!$A$1:$U$38,MATCH($A12,'ORG-Metrics'!$A$1:$A$38,0),MATCH(G$1,'ORG-Metrics'!$1:$1,0)),"")</f>
        <v>0.1235512738951306</v>
      </c>
      <c r="H12" s="39">
        <f>IFERROR(INDEX('ORG-Metrics'!$A$1:$U$38,MATCH($A12,'ORG-Metrics'!$A$1:$A$38,0),MATCH(H$1,'ORG-Metrics'!$1:$1,0)),"")</f>
        <v>0.15637257638036972</v>
      </c>
      <c r="I12" s="39">
        <f>IFERROR(INDEX('ORG-Metrics'!$A$1:$U$38,MATCH($A12,'ORG-Metrics'!$A$1:$A$38,0),MATCH(I$1,'ORG-Metrics'!$1:$1,0)),"")</f>
        <v>5.1474121081754302E-2</v>
      </c>
      <c r="J12" s="39">
        <f>IFERROR(INDEX('ORG-Metrics'!$A$1:$U$38,MATCH($A12,'ORG-Metrics'!$A$1:$A$38,0),MATCH(J$1,'ORG-Metrics'!$1:$1,0)),"")</f>
        <v>0.28574387642280141</v>
      </c>
      <c r="K12" s="39">
        <f>IFERROR(INDEX('ORG-Metrics'!$A$1:$U$38,MATCH($A12,'ORG-Metrics'!$A$1:$A$38,0),MATCH(K$1,'ORG-Metrics'!$1:$1,0)),"")</f>
        <v>64417.700332574925</v>
      </c>
      <c r="L12" s="39">
        <f>IFERROR(INDEX('ORG-Metrics'!$A$1:$U$38,MATCH($A12,'ORG-Metrics'!$A$1:$A$38,0),MATCH(L$1,'ORG-Metrics'!$1:$1,0)),"")</f>
        <v>8802.0772283520855</v>
      </c>
      <c r="M12" s="39">
        <f>IFERROR(INDEX('ORG-Metrics'!$A$1:$U$38,MATCH($A12,'ORG-Metrics'!$A$1:$A$38,0),MATCH(M$1,'ORG-Metrics'!$1:$1,0)),"")</f>
        <v>61120.91064140846</v>
      </c>
      <c r="N12" s="39">
        <f>IFERROR(INDEX('ORG-Metrics'!$A$1:$U$38,MATCH($A12,'ORG-Metrics'!$A$1:$A$38,0),MATCH(N$1,'ORG-Metrics'!$1:$1,0)),"")</f>
        <v>6904.1688661417138</v>
      </c>
      <c r="O12" s="39">
        <f>IFERROR(INDEX('ORG-Metrics'!$A$1:$U$38,MATCH($A12,'ORG-Metrics'!$A$1:$A$38,0),MATCH(O$1,'ORG-Metrics'!$1:$1,0)),"")</f>
        <v>188.70728056130702</v>
      </c>
      <c r="P12" s="39">
        <f>IFERROR(INDEX('ORG-Metrics'!$A$1:$U$38,MATCH($A12,'ORG-Metrics'!$A$1:$A$38,0),MATCH(P$1,'ORG-Metrics'!$1:$1,0)),"")</f>
        <v>77.325412858446512</v>
      </c>
      <c r="Q12" s="39">
        <f>IFERROR(INDEX('ORG-Metrics'!$A$1:$U$38,MATCH($A12,'ORG-Metrics'!$A$1:$A$38,0),MATCH(Q$1,'ORG-Metrics'!$1:$1,0)),"")</f>
        <v>72.583164734953812</v>
      </c>
      <c r="R12" s="39">
        <f>IFERROR(INDEX('ORG-Metrics'!$A$1:$U$38,MATCH($A12,'ORG-Metrics'!$A$1:$A$38,0),MATCH(R$1,'ORG-Metrics'!$1:$1,0)),"")</f>
        <v>16.898171752359897</v>
      </c>
      <c r="S12" s="39">
        <f>IFERROR(INDEX('ORG-Metrics'!$A$1:$U$38,MATCH($A12,'ORG-Metrics'!$A$1:$A$38,0),MATCH(S$1,'ORG-Metrics'!$1:$1,0)),"")</f>
        <v>1.2847495211576889</v>
      </c>
      <c r="T12" s="39">
        <f>IFERROR(INDEX('ORG-Metrics'!$A$1:$U$38,MATCH($A12,'ORG-Metrics'!$A$1:$A$38,0),MATCH(T$1,'ORG-Metrics'!$1:$1,0)),"")</f>
        <v>445.34001044785339</v>
      </c>
      <c r="U12" s="41">
        <f>IFERROR(INDEX('ORG-Metrics'!$A$1:$U$38,MATCH($A12,'ORG-Metrics'!$A$1:$A$38,0),MATCH(U$1,'ORG-Metrics'!$1:$1,0)),"")</f>
        <v>209.43930867197878</v>
      </c>
      <c r="W12" s="55">
        <f t="shared" si="0"/>
        <v>125727.31825454471</v>
      </c>
      <c r="X12" s="52" t="str">
        <f t="shared" si="1"/>
        <v>Medium</v>
      </c>
      <c r="Z12" s="52" t="str">
        <f t="shared" si="2"/>
        <v>Medium</v>
      </c>
    </row>
    <row r="13" spans="1:26" x14ac:dyDescent="0.3">
      <c r="A13" s="30" t="str">
        <v>S</v>
      </c>
      <c r="B13" s="39">
        <f>IFERROR(INDEX('ORG-Metrics'!$A$1:$U$38,MATCH($A13,'ORG-Metrics'!$A$1:$A$38,0),MATCH(B$1,'ORG-Metrics'!$1:$1,0)),"")</f>
        <v>0.42763306341589841</v>
      </c>
      <c r="C13" s="39">
        <f>IFERROR(INDEX('ORG-Metrics'!$A$1:$U$38,MATCH($A13,'ORG-Metrics'!$A$1:$A$38,0),MATCH(C$1,'ORG-Metrics'!$1:$1,0)),"")</f>
        <v>1506.4383974170255</v>
      </c>
      <c r="D13" s="39">
        <f>IFERROR(INDEX('ORG-Metrics'!$A$1:$U$38,MATCH($A13,'ORG-Metrics'!$A$1:$A$38,0),MATCH(D$1,'ORG-Metrics'!$1:$1,0)),"")</f>
        <v>7779.0987949738883</v>
      </c>
      <c r="E13" s="39">
        <f>IFERROR(INDEX('ORG-Metrics'!$A$1:$U$38,MATCH($A13,'ORG-Metrics'!$A$1:$A$38,0),MATCH(E$1,'ORG-Metrics'!$1:$1,0)),"")</f>
        <v>8.7014362383486143E-2</v>
      </c>
      <c r="F13" s="39">
        <f>IFERROR(INDEX('ORG-Metrics'!$A$1:$U$38,MATCH($A13,'ORG-Metrics'!$A$1:$A$38,0),MATCH(F$1,'ORG-Metrics'!$1:$1,0)),"")</f>
        <v>3.998974304039786E-2</v>
      </c>
      <c r="G13" s="39">
        <f>IFERROR(INDEX('ORG-Metrics'!$A$1:$U$38,MATCH($A13,'ORG-Metrics'!$A$1:$A$38,0),MATCH(G$1,'ORG-Metrics'!$1:$1,0)),"")</f>
        <v>7.5454424130104392E-2</v>
      </c>
      <c r="H13" s="39">
        <f>IFERROR(INDEX('ORG-Metrics'!$A$1:$U$38,MATCH($A13,'ORG-Metrics'!$A$1:$A$38,0),MATCH(H$1,'ORG-Metrics'!$1:$1,0)),"")</f>
        <v>0.23560685038601611</v>
      </c>
      <c r="I13" s="39">
        <f>IFERROR(INDEX('ORG-Metrics'!$A$1:$U$38,MATCH($A13,'ORG-Metrics'!$A$1:$A$38,0),MATCH(I$1,'ORG-Metrics'!$1:$1,0)),"")</f>
        <v>3.1761723017606151E-2</v>
      </c>
      <c r="J13" s="39">
        <f>IFERROR(INDEX('ORG-Metrics'!$A$1:$U$38,MATCH($A13,'ORG-Metrics'!$A$1:$A$38,0),MATCH(J$1,'ORG-Metrics'!$1:$1,0)),"")</f>
        <v>0.33408041360549118</v>
      </c>
      <c r="K13" s="39">
        <f>IFERROR(INDEX('ORG-Metrics'!$A$1:$U$38,MATCH($A13,'ORG-Metrics'!$A$1:$A$38,0),MATCH(K$1,'ORG-Metrics'!$1:$1,0)),"")</f>
        <v>119829.18142069246</v>
      </c>
      <c r="L13" s="39">
        <f>IFERROR(INDEX('ORG-Metrics'!$A$1:$U$38,MATCH($A13,'ORG-Metrics'!$A$1:$A$38,0),MATCH(L$1,'ORG-Metrics'!$1:$1,0)),"")</f>
        <v>11873.643495995613</v>
      </c>
      <c r="M13" s="39">
        <f>IFERROR(INDEX('ORG-Metrics'!$A$1:$U$38,MATCH($A13,'ORG-Metrics'!$A$1:$A$38,0),MATCH(M$1,'ORG-Metrics'!$1:$1,0)),"")</f>
        <v>63365.980453142794</v>
      </c>
      <c r="N13" s="39">
        <f>IFERROR(INDEX('ORG-Metrics'!$A$1:$U$38,MATCH($A13,'ORG-Metrics'!$A$1:$A$38,0),MATCH(N$1,'ORG-Metrics'!$1:$1,0)),"")</f>
        <v>3067.2455238920538</v>
      </c>
      <c r="O13" s="39">
        <f>IFERROR(INDEX('ORG-Metrics'!$A$1:$U$38,MATCH($A13,'ORG-Metrics'!$A$1:$A$38,0),MATCH(O$1,'ORG-Metrics'!$1:$1,0)),"")</f>
        <v>26369.847535152294</v>
      </c>
      <c r="P13" s="39">
        <f>IFERROR(INDEX('ORG-Metrics'!$A$1:$U$38,MATCH($A13,'ORG-Metrics'!$A$1:$A$38,0),MATCH(P$1,'ORG-Metrics'!$1:$1,0)),"")</f>
        <v>1668.7044776904081</v>
      </c>
      <c r="Q13" s="39">
        <f>IFERROR(INDEX('ORG-Metrics'!$A$1:$U$38,MATCH($A13,'ORG-Metrics'!$A$1:$A$38,0),MATCH(Q$1,'ORG-Metrics'!$1:$1,0)),"")</f>
        <v>110.73371560327887</v>
      </c>
      <c r="R13" s="39">
        <f>IFERROR(INDEX('ORG-Metrics'!$A$1:$U$38,MATCH($A13,'ORG-Metrics'!$A$1:$A$38,0),MATCH(R$1,'ORG-Metrics'!$1:$1,0)),"")</f>
        <v>60.622461502239581</v>
      </c>
      <c r="S13" s="39">
        <f>IFERROR(INDEX('ORG-Metrics'!$A$1:$U$38,MATCH($A13,'ORG-Metrics'!$A$1:$A$38,0),MATCH(S$1,'ORG-Metrics'!$1:$1,0)),"")</f>
        <v>1.0760615584139701</v>
      </c>
      <c r="T13" s="39">
        <f>IFERROR(INDEX('ORG-Metrics'!$A$1:$U$38,MATCH($A13,'ORG-Metrics'!$A$1:$A$38,0),MATCH(T$1,'ORG-Metrics'!$1:$1,0)),"")</f>
        <v>195.81104862167564</v>
      </c>
      <c r="U13" s="41">
        <f>IFERROR(INDEX('ORG-Metrics'!$A$1:$U$38,MATCH($A13,'ORG-Metrics'!$A$1:$A$38,0),MATCH(U$1,'ORG-Metrics'!$1:$1,0)),"")</f>
        <v>117.81009875079803</v>
      </c>
      <c r="W13" s="55">
        <f t="shared" si="0"/>
        <v>209565.00940898753</v>
      </c>
      <c r="X13" s="52" t="str">
        <f t="shared" si="1"/>
        <v>Medium</v>
      </c>
      <c r="Z13" s="52" t="str">
        <f t="shared" si="2"/>
        <v>Medium</v>
      </c>
    </row>
    <row r="14" spans="1:26" x14ac:dyDescent="0.3">
      <c r="A14" s="30" t="str">
        <v>A</v>
      </c>
      <c r="B14" s="39">
        <f>IFERROR(INDEX('ORG-Metrics'!$A$1:$U$38,MATCH($A14,'ORG-Metrics'!$A$1:$A$38,0),MATCH(B$1,'ORG-Metrics'!$1:$1,0)),"")</f>
        <v>0.45106878113553345</v>
      </c>
      <c r="C14" s="39">
        <f>IFERROR(INDEX('ORG-Metrics'!$A$1:$U$38,MATCH($A14,'ORG-Metrics'!$A$1:$A$38,0),MATCH(C$1,'ORG-Metrics'!$1:$1,0)),"")</f>
        <v>1543.6646920397291</v>
      </c>
      <c r="D14" s="39">
        <f>IFERROR(INDEX('ORG-Metrics'!$A$1:$U$38,MATCH($A14,'ORG-Metrics'!$A$1:$A$38,0),MATCH(D$1,'ORG-Metrics'!$1:$1,0)),"")</f>
        <v>4905.8715227322646</v>
      </c>
      <c r="E14" s="39">
        <f>IFERROR(INDEX('ORG-Metrics'!$A$1:$U$38,MATCH($A14,'ORG-Metrics'!$A$1:$A$38,0),MATCH(E$1,'ORG-Metrics'!$1:$1,0)),"")</f>
        <v>7.7398146858595279E-2</v>
      </c>
      <c r="F14" s="39">
        <f>IFERROR(INDEX('ORG-Metrics'!$A$1:$U$38,MATCH($A14,'ORG-Metrics'!$A$1:$A$38,0),MATCH(F$1,'ORG-Metrics'!$1:$1,0)),"")</f>
        <v>2.1804334790082085E-2</v>
      </c>
      <c r="G14" s="39">
        <f>IFERROR(INDEX('ORG-Metrics'!$A$1:$U$38,MATCH($A14,'ORG-Metrics'!$A$1:$A$38,0),MATCH(G$1,'ORG-Metrics'!$1:$1,0)),"")</f>
        <v>3.533862985060085E-2</v>
      </c>
      <c r="H14" s="39">
        <f>IFERROR(INDEX('ORG-Metrics'!$A$1:$U$38,MATCH($A14,'ORG-Metrics'!$A$1:$A$38,0),MATCH(H$1,'ORG-Metrics'!$1:$1,0)),"")</f>
        <v>0.25010698272645054</v>
      </c>
      <c r="I14" s="39">
        <f>IFERROR(INDEX('ORG-Metrics'!$A$1:$U$38,MATCH($A14,'ORG-Metrics'!$A$1:$A$38,0),MATCH(I$1,'ORG-Metrics'!$1:$1,0)),"")</f>
        <v>2.6104596448151173E-2</v>
      </c>
      <c r="J14" s="39">
        <f>IFERROR(INDEX('ORG-Metrics'!$A$1:$U$38,MATCH($A14,'ORG-Metrics'!$A$1:$A$38,0),MATCH(J$1,'ORG-Metrics'!$1:$1,0)),"")</f>
        <v>0.32798236630400579</v>
      </c>
      <c r="K14" s="39">
        <f>IFERROR(INDEX('ORG-Metrics'!$A$1:$U$38,MATCH($A14,'ORG-Metrics'!$A$1:$A$38,0),MATCH(K$1,'ORG-Metrics'!$1:$1,0)),"")</f>
        <v>40506.897369497121</v>
      </c>
      <c r="L14" s="39">
        <f>IFERROR(INDEX('ORG-Metrics'!$A$1:$U$38,MATCH($A14,'ORG-Metrics'!$A$1:$A$38,0),MATCH(L$1,'ORG-Metrics'!$1:$1,0)),"")</f>
        <v>6120.4795221479308</v>
      </c>
      <c r="M14" s="39">
        <f>IFERROR(INDEX('ORG-Metrics'!$A$1:$U$38,MATCH($A14,'ORG-Metrics'!$A$1:$A$38,0),MATCH(M$1,'ORG-Metrics'!$1:$1,0)),"")</f>
        <v>38813.762175593962</v>
      </c>
      <c r="N14" s="39">
        <f>IFERROR(INDEX('ORG-Metrics'!$A$1:$U$38,MATCH($A14,'ORG-Metrics'!$A$1:$A$38,0),MATCH(N$1,'ORG-Metrics'!$1:$1,0)),"")</f>
        <v>2727.9783390794573</v>
      </c>
      <c r="O14" s="39">
        <f>IFERROR(INDEX('ORG-Metrics'!$A$1:$U$38,MATCH($A14,'ORG-Metrics'!$A$1:$A$38,0),MATCH(O$1,'ORG-Metrics'!$1:$1,0)),"")</f>
        <v>25008.985930370491</v>
      </c>
      <c r="P14" s="39">
        <f>IFERROR(INDEX('ORG-Metrics'!$A$1:$U$38,MATCH($A14,'ORG-Metrics'!$A$1:$A$38,0),MATCH(P$1,'ORG-Metrics'!$1:$1,0)),"")</f>
        <v>1557.4538841779508</v>
      </c>
      <c r="Q14" s="39">
        <f>IFERROR(INDEX('ORG-Metrics'!$A$1:$U$38,MATCH($A14,'ORG-Metrics'!$A$1:$A$38,0),MATCH(Q$1,'ORG-Metrics'!$1:$1,0)),"")</f>
        <v>132.5895687915615</v>
      </c>
      <c r="R14" s="39">
        <f>IFERROR(INDEX('ORG-Metrics'!$A$1:$U$38,MATCH($A14,'ORG-Metrics'!$A$1:$A$38,0),MATCH(R$1,'ORG-Metrics'!$1:$1,0)),"")</f>
        <v>42.752137845789882</v>
      </c>
      <c r="S14" s="39">
        <f>IFERROR(INDEX('ORG-Metrics'!$A$1:$U$38,MATCH($A14,'ORG-Metrics'!$A$1:$A$38,0),MATCH(S$1,'ORG-Metrics'!$1:$1,0)),"")</f>
        <v>1.03370281492507</v>
      </c>
      <c r="T14" s="39">
        <f>IFERROR(INDEX('ORG-Metrics'!$A$1:$U$38,MATCH($A14,'ORG-Metrics'!$A$1:$A$38,0),MATCH(T$1,'ORG-Metrics'!$1:$1,0)),"")</f>
        <v>94.658579605533234</v>
      </c>
      <c r="U14" s="41">
        <f>IFERROR(INDEX('ORG-Metrics'!$A$1:$U$38,MATCH($A14,'ORG-Metrics'!$A$1:$A$38,0),MATCH(U$1,'ORG-Metrics'!$1:$1,0)),"")</f>
        <v>45.655623421388697</v>
      </c>
      <c r="W14" s="55">
        <f t="shared" si="0"/>
        <v>104329.64547546157</v>
      </c>
      <c r="X14" s="52" t="str">
        <f t="shared" si="1"/>
        <v>Small</v>
      </c>
      <c r="Z14" s="52" t="str">
        <f t="shared" si="2"/>
        <v>Small</v>
      </c>
    </row>
    <row r="15" spans="1:26" x14ac:dyDescent="0.3">
      <c r="A15" s="30" t="str">
        <v>AF</v>
      </c>
      <c r="B15" s="39">
        <f>IFERROR(INDEX('ORG-Metrics'!$A$1:$U$38,MATCH($A15,'ORG-Metrics'!$A$1:$A$38,0),MATCH(B$1,'ORG-Metrics'!$1:$1,0)),"")</f>
        <v>0.44693473555504554</v>
      </c>
      <c r="C15" s="39">
        <f>IFERROR(INDEX('ORG-Metrics'!$A$1:$U$38,MATCH($A15,'ORG-Metrics'!$A$1:$A$38,0),MATCH(C$1,'ORG-Metrics'!$1:$1,0)),"")</f>
        <v>1503.8744215775203</v>
      </c>
      <c r="D15" s="39">
        <f>IFERROR(INDEX('ORG-Metrics'!$A$1:$U$38,MATCH($A15,'ORG-Metrics'!$A$1:$A$38,0),MATCH(D$1,'ORG-Metrics'!$1:$1,0)),"")</f>
        <v>6189.3487510779296</v>
      </c>
      <c r="E15" s="39">
        <f>IFERROR(INDEX('ORG-Metrics'!$A$1:$U$38,MATCH($A15,'ORG-Metrics'!$A$1:$A$38,0),MATCH(E$1,'ORG-Metrics'!$1:$1,0)),"")</f>
        <v>6.4923365687727427E-2</v>
      </c>
      <c r="F15" s="39">
        <f>IFERROR(INDEX('ORG-Metrics'!$A$1:$U$38,MATCH($A15,'ORG-Metrics'!$A$1:$A$38,0),MATCH(F$1,'ORG-Metrics'!$1:$1,0)),"")</f>
        <v>1.9542462081318698E-2</v>
      </c>
      <c r="G15" s="39">
        <f>IFERROR(INDEX('ORG-Metrics'!$A$1:$U$38,MATCH($A15,'ORG-Metrics'!$A$1:$A$38,0),MATCH(G$1,'ORG-Metrics'!$1:$1,0)),"")</f>
        <v>6.333252070318432E-2</v>
      </c>
      <c r="H15" s="39">
        <f>IFERROR(INDEX('ORG-Metrics'!$A$1:$U$38,MATCH($A15,'ORG-Metrics'!$A$1:$A$38,0),MATCH(H$1,'ORG-Metrics'!$1:$1,0)),"")</f>
        <v>0.21981137365110939</v>
      </c>
      <c r="I15" s="39">
        <f>IFERROR(INDEX('ORG-Metrics'!$A$1:$U$38,MATCH($A15,'ORG-Metrics'!$A$1:$A$38,0),MATCH(I$1,'ORG-Metrics'!$1:$1,0)),"")</f>
        <v>2.1062563398377043E-2</v>
      </c>
      <c r="J15" s="39">
        <f>IFERROR(INDEX('ORG-Metrics'!$A$1:$U$38,MATCH($A15,'ORG-Metrics'!$A$1:$A$38,0),MATCH(J$1,'ORG-Metrics'!$1:$1,0)),"")</f>
        <v>0.22687722120762993</v>
      </c>
      <c r="K15" s="39">
        <f>IFERROR(INDEX('ORG-Metrics'!$A$1:$U$38,MATCH($A15,'ORG-Metrics'!$A$1:$A$38,0),MATCH(K$1,'ORG-Metrics'!$1:$1,0)),"")</f>
        <v>61786.626257764103</v>
      </c>
      <c r="L15" s="39">
        <f>IFERROR(INDEX('ORG-Metrics'!$A$1:$U$38,MATCH($A15,'ORG-Metrics'!$A$1:$A$38,0),MATCH(L$1,'ORG-Metrics'!$1:$1,0)),"")</f>
        <v>7117.1030831971193</v>
      </c>
      <c r="M15" s="39">
        <f>IFERROR(INDEX('ORG-Metrics'!$A$1:$U$38,MATCH($A15,'ORG-Metrics'!$A$1:$A$38,0),MATCH(M$1,'ORG-Metrics'!$1:$1,0)),"")</f>
        <v>51990.778840808489</v>
      </c>
      <c r="N15" s="39">
        <f>IFERROR(INDEX('ORG-Metrics'!$A$1:$U$38,MATCH($A15,'ORG-Metrics'!$A$1:$A$38,0),MATCH(N$1,'ORG-Metrics'!$1:$1,0)),"")</f>
        <v>1568.6440973203535</v>
      </c>
      <c r="O15" s="39">
        <f>IFERROR(INDEX('ORG-Metrics'!$A$1:$U$38,MATCH($A15,'ORG-Metrics'!$A$1:$A$38,0),MATCH(O$1,'ORG-Metrics'!$1:$1,0)),"")</f>
        <v>4168.0842903426237</v>
      </c>
      <c r="P15" s="39">
        <f>IFERROR(INDEX('ORG-Metrics'!$A$1:$U$38,MATCH($A15,'ORG-Metrics'!$A$1:$A$38,0),MATCH(P$1,'ORG-Metrics'!$1:$1,0)),"")</f>
        <v>0</v>
      </c>
      <c r="Q15" s="39">
        <f>IFERROR(INDEX('ORG-Metrics'!$A$1:$U$38,MATCH($A15,'ORG-Metrics'!$A$1:$A$38,0),MATCH(Q$1,'ORG-Metrics'!$1:$1,0)),"")</f>
        <v>0</v>
      </c>
      <c r="R15" s="39">
        <f>IFERROR(INDEX('ORG-Metrics'!$A$1:$U$38,MATCH($A15,'ORG-Metrics'!$A$1:$A$38,0),MATCH(R$1,'ORG-Metrics'!$1:$1,0)),"")</f>
        <v>0</v>
      </c>
      <c r="S15" s="39">
        <f>IFERROR(INDEX('ORG-Metrics'!$A$1:$U$38,MATCH($A15,'ORG-Metrics'!$A$1:$A$38,0),MATCH(S$1,'ORG-Metrics'!$1:$1,0)),"")</f>
        <v>1.1712438377554515</v>
      </c>
      <c r="T15" s="39">
        <f>IFERROR(INDEX('ORG-Metrics'!$A$1:$U$38,MATCH($A15,'ORG-Metrics'!$A$1:$A$38,0),MATCH(T$1,'ORG-Metrics'!$1:$1,0)),"")</f>
        <v>38.370818414707081</v>
      </c>
      <c r="U15" s="41">
        <f>IFERROR(INDEX('ORG-Metrics'!$A$1:$U$38,MATCH($A15,'ORG-Metrics'!$A$1:$A$38,0),MATCH(U$1,'ORG-Metrics'!$1:$1,0)),"")</f>
        <v>19.777190691450734</v>
      </c>
      <c r="W15" s="55">
        <f t="shared" si="0"/>
        <v>117945.48938891522</v>
      </c>
      <c r="X15" s="52" t="str">
        <f t="shared" si="1"/>
        <v>Medium</v>
      </c>
      <c r="Z15" s="52" t="str">
        <f t="shared" si="2"/>
        <v>Small</v>
      </c>
    </row>
    <row r="16" spans="1:26" x14ac:dyDescent="0.3">
      <c r="A16" s="30" t="str">
        <v>AH</v>
      </c>
      <c r="B16" s="39">
        <f>IFERROR(INDEX('ORG-Metrics'!$A$1:$U$38,MATCH($A16,'ORG-Metrics'!$A$1:$A$38,0),MATCH(B$1,'ORG-Metrics'!$1:$1,0)),"")</f>
        <v>0.4510429024784367</v>
      </c>
      <c r="C16" s="39">
        <f>IFERROR(INDEX('ORG-Metrics'!$A$1:$U$38,MATCH($A16,'ORG-Metrics'!$A$1:$A$38,0),MATCH(C$1,'ORG-Metrics'!$1:$1,0)),"")</f>
        <v>1566.6797750272165</v>
      </c>
      <c r="D16" s="39">
        <f>IFERROR(INDEX('ORG-Metrics'!$A$1:$U$38,MATCH($A16,'ORG-Metrics'!$A$1:$A$38,0),MATCH(D$1,'ORG-Metrics'!$1:$1,0)),"")</f>
        <v>6303.0946744546973</v>
      </c>
      <c r="E16" s="39">
        <f>IFERROR(INDEX('ORG-Metrics'!$A$1:$U$38,MATCH($A16,'ORG-Metrics'!$A$1:$A$38,0),MATCH(E$1,'ORG-Metrics'!$1:$1,0)),"")</f>
        <v>7.9701550783891767E-2</v>
      </c>
      <c r="F16" s="39">
        <f>IFERROR(INDEX('ORG-Metrics'!$A$1:$U$38,MATCH($A16,'ORG-Metrics'!$A$1:$A$38,0),MATCH(F$1,'ORG-Metrics'!$1:$1,0)),"")</f>
        <v>4.1237216671929479E-3</v>
      </c>
      <c r="G16" s="39">
        <f>IFERROR(INDEX('ORG-Metrics'!$A$1:$U$38,MATCH($A16,'ORG-Metrics'!$A$1:$A$38,0),MATCH(G$1,'ORG-Metrics'!$1:$1,0)),"")</f>
        <v>0.17793555103909178</v>
      </c>
      <c r="H16" s="39">
        <f>IFERROR(INDEX('ORG-Metrics'!$A$1:$U$38,MATCH($A16,'ORG-Metrics'!$A$1:$A$38,0),MATCH(H$1,'ORG-Metrics'!$1:$1,0)),"")</f>
        <v>0.13875753087244352</v>
      </c>
      <c r="I16" s="39">
        <f>IFERROR(INDEX('ORG-Metrics'!$A$1:$U$38,MATCH($A16,'ORG-Metrics'!$A$1:$A$38,0),MATCH(I$1,'ORG-Metrics'!$1:$1,0)),"")</f>
        <v>4.0198439616156552E-2</v>
      </c>
      <c r="J16" s="39">
        <f>IFERROR(INDEX('ORG-Metrics'!$A$1:$U$38,MATCH($A16,'ORG-Metrics'!$A$1:$A$38,0),MATCH(J$1,'ORG-Metrics'!$1:$1,0)),"")</f>
        <v>0.26040987596753284</v>
      </c>
      <c r="K16" s="39">
        <f>IFERROR(INDEX('ORG-Metrics'!$A$1:$U$38,MATCH($A16,'ORG-Metrics'!$A$1:$A$38,0),MATCH(K$1,'ORG-Metrics'!$1:$1,0)),"")</f>
        <v>61969.423089745796</v>
      </c>
      <c r="L16" s="39">
        <f>IFERROR(INDEX('ORG-Metrics'!$A$1:$U$38,MATCH($A16,'ORG-Metrics'!$A$1:$A$38,0),MATCH(L$1,'ORG-Metrics'!$1:$1,0)),"")</f>
        <v>21618.724454117499</v>
      </c>
      <c r="M16" s="39">
        <f>IFERROR(INDEX('ORG-Metrics'!$A$1:$U$38,MATCH($A16,'ORG-Metrics'!$A$1:$A$38,0),MATCH(M$1,'ORG-Metrics'!$1:$1,0)),"")</f>
        <v>46479.470835616608</v>
      </c>
      <c r="N16" s="39">
        <f>IFERROR(INDEX('ORG-Metrics'!$A$1:$U$38,MATCH($A16,'ORG-Metrics'!$A$1:$A$38,0),MATCH(N$1,'ORG-Metrics'!$1:$1,0)),"")</f>
        <v>7706.0176369921428</v>
      </c>
      <c r="O16" s="39">
        <f>IFERROR(INDEX('ORG-Metrics'!$A$1:$U$38,MATCH($A16,'ORG-Metrics'!$A$1:$A$38,0),MATCH(O$1,'ORG-Metrics'!$1:$1,0)),"")</f>
        <v>1579.9319998827605</v>
      </c>
      <c r="P16" s="39">
        <f>IFERROR(INDEX('ORG-Metrics'!$A$1:$U$38,MATCH($A16,'ORG-Metrics'!$A$1:$A$38,0),MATCH(P$1,'ORG-Metrics'!$1:$1,0)),"")</f>
        <v>950.10549739908856</v>
      </c>
      <c r="Q16" s="39">
        <f>IFERROR(INDEX('ORG-Metrics'!$A$1:$U$38,MATCH($A16,'ORG-Metrics'!$A$1:$A$38,0),MATCH(Q$1,'ORG-Metrics'!$1:$1,0)),"")</f>
        <v>144.92393177833648</v>
      </c>
      <c r="R16" s="39">
        <f>IFERROR(INDEX('ORG-Metrics'!$A$1:$U$38,MATCH($A16,'ORG-Metrics'!$A$1:$A$38,0),MATCH(R$1,'ORG-Metrics'!$1:$1,0)),"")</f>
        <v>81.904382248364001</v>
      </c>
      <c r="S16" s="39">
        <f>IFERROR(INDEX('ORG-Metrics'!$A$1:$U$38,MATCH($A16,'ORG-Metrics'!$A$1:$A$38,0),MATCH(S$1,'ORG-Metrics'!$1:$1,0)),"")</f>
        <v>3.8349194110704938</v>
      </c>
      <c r="T16" s="39">
        <f>IFERROR(INDEX('ORG-Metrics'!$A$1:$U$38,MATCH($A16,'ORG-Metrics'!$A$1:$A$38,0),MATCH(T$1,'ORG-Metrics'!$1:$1,0)),"")</f>
        <v>215.54262563220843</v>
      </c>
      <c r="U16" s="41">
        <f>IFERROR(INDEX('ORG-Metrics'!$A$1:$U$38,MATCH($A16,'ORG-Metrics'!$A$1:$A$38,0),MATCH(U$1,'ORG-Metrics'!$1:$1,0)),"")</f>
        <v>169.17970215525347</v>
      </c>
      <c r="W16" s="55">
        <f t="shared" si="0"/>
        <v>110028.82592524517</v>
      </c>
      <c r="X16" s="52" t="str">
        <f t="shared" si="1"/>
        <v>Small</v>
      </c>
      <c r="Z16" s="52" t="str">
        <f t="shared" si="2"/>
        <v>Small</v>
      </c>
    </row>
    <row r="17" spans="1:26" x14ac:dyDescent="0.3">
      <c r="A17" s="30" t="str">
        <v>H</v>
      </c>
      <c r="B17" s="39">
        <f>IFERROR(INDEX('ORG-Metrics'!$A$1:$U$38,MATCH($A17,'ORG-Metrics'!$A$1:$A$38,0),MATCH(B$1,'ORG-Metrics'!$1:$1,0)),"")</f>
        <v>0.43037198049534353</v>
      </c>
      <c r="C17" s="39">
        <f>IFERROR(INDEX('ORG-Metrics'!$A$1:$U$38,MATCH($A17,'ORG-Metrics'!$A$1:$A$38,0),MATCH(C$1,'ORG-Metrics'!$1:$1,0)),"")</f>
        <v>1533.136775465244</v>
      </c>
      <c r="D17" s="39">
        <f>IFERROR(INDEX('ORG-Metrics'!$A$1:$U$38,MATCH($A17,'ORG-Metrics'!$A$1:$A$38,0),MATCH(D$1,'ORG-Metrics'!$1:$1,0)),"")</f>
        <v>2992.3960196394682</v>
      </c>
      <c r="E17" s="39">
        <f>IFERROR(INDEX('ORG-Metrics'!$A$1:$U$38,MATCH($A17,'ORG-Metrics'!$A$1:$A$38,0),MATCH(E$1,'ORG-Metrics'!$1:$1,0)),"")</f>
        <v>2.0714460110426327E-3</v>
      </c>
      <c r="F17" s="39">
        <f>IFERROR(INDEX('ORG-Metrics'!$A$1:$U$38,MATCH($A17,'ORG-Metrics'!$A$1:$A$38,0),MATCH(F$1,'ORG-Metrics'!$1:$1,0)),"")</f>
        <v>0</v>
      </c>
      <c r="G17" s="39">
        <f>IFERROR(INDEX('ORG-Metrics'!$A$1:$U$38,MATCH($A17,'ORG-Metrics'!$A$1:$A$38,0),MATCH(G$1,'ORG-Metrics'!$1:$1,0)),"")</f>
        <v>0</v>
      </c>
      <c r="H17" s="39">
        <f>IFERROR(INDEX('ORG-Metrics'!$A$1:$U$38,MATCH($A17,'ORG-Metrics'!$A$1:$A$38,0),MATCH(H$1,'ORG-Metrics'!$1:$1,0)),"")</f>
        <v>0.12619827515848528</v>
      </c>
      <c r="I17" s="39">
        <f>IFERROR(INDEX('ORG-Metrics'!$A$1:$U$38,MATCH($A17,'ORG-Metrics'!$A$1:$A$38,0),MATCH(I$1,'ORG-Metrics'!$1:$1,0)),"")</f>
        <v>0</v>
      </c>
      <c r="J17" s="39">
        <f>IFERROR(INDEX('ORG-Metrics'!$A$1:$U$38,MATCH($A17,'ORG-Metrics'!$A$1:$A$38,0),MATCH(J$1,'ORG-Metrics'!$1:$1,0)),"")</f>
        <v>0.23193032243072781</v>
      </c>
      <c r="K17" s="39">
        <f>IFERROR(INDEX('ORG-Metrics'!$A$1:$U$38,MATCH($A17,'ORG-Metrics'!$A$1:$A$38,0),MATCH(K$1,'ORG-Metrics'!$1:$1,0)),"")</f>
        <v>1207.3246711779541</v>
      </c>
      <c r="L17" s="39">
        <f>IFERROR(INDEX('ORG-Metrics'!$A$1:$U$38,MATCH($A17,'ORG-Metrics'!$A$1:$A$38,0),MATCH(L$1,'ORG-Metrics'!$1:$1,0)),"")</f>
        <v>0</v>
      </c>
      <c r="M17" s="39">
        <f>IFERROR(INDEX('ORG-Metrics'!$A$1:$U$38,MATCH($A17,'ORG-Metrics'!$A$1:$A$38,0),MATCH(M$1,'ORG-Metrics'!$1:$1,0)),"")</f>
        <v>6707.1119459735046</v>
      </c>
      <c r="N17" s="39">
        <f>IFERROR(INDEX('ORG-Metrics'!$A$1:$U$38,MATCH($A17,'ORG-Metrics'!$A$1:$A$38,0),MATCH(N$1,'ORG-Metrics'!$1:$1,0)),"")</f>
        <v>89.077413869729682</v>
      </c>
      <c r="O17" s="39">
        <f>IFERROR(INDEX('ORG-Metrics'!$A$1:$U$38,MATCH($A17,'ORG-Metrics'!$A$1:$A$38,0),MATCH(O$1,'ORG-Metrics'!$1:$1,0)),"")</f>
        <v>597.38364753969358</v>
      </c>
      <c r="P17" s="39">
        <f>IFERROR(INDEX('ORG-Metrics'!$A$1:$U$38,MATCH($A17,'ORG-Metrics'!$A$1:$A$38,0),MATCH(P$1,'ORG-Metrics'!$1:$1,0)),"")</f>
        <v>365.84389322494587</v>
      </c>
      <c r="Q17" s="39">
        <f>IFERROR(INDEX('ORG-Metrics'!$A$1:$U$38,MATCH($A17,'ORG-Metrics'!$A$1:$A$38,0),MATCH(Q$1,'ORG-Metrics'!$1:$1,0)),"")</f>
        <v>0</v>
      </c>
      <c r="R17" s="39">
        <f>IFERROR(INDEX('ORG-Metrics'!$A$1:$U$38,MATCH($A17,'ORG-Metrics'!$A$1:$A$38,0),MATCH(R$1,'ORG-Metrics'!$1:$1,0)),"")</f>
        <v>0</v>
      </c>
      <c r="S17" s="39">
        <f>IFERROR(INDEX('ORG-Metrics'!$A$1:$U$38,MATCH($A17,'ORG-Metrics'!$A$1:$A$38,0),MATCH(S$1,'ORG-Metrics'!$1:$1,0)),"")</f>
        <v>1.7314953164410252</v>
      </c>
      <c r="T17" s="39">
        <f>IFERROR(INDEX('ORG-Metrics'!$A$1:$U$38,MATCH($A17,'ORG-Metrics'!$A$1:$A$38,0),MATCH(T$1,'ORG-Metrics'!$1:$1,0)),"")</f>
        <v>111.14766299610518</v>
      </c>
      <c r="U17" s="41">
        <f>IFERROR(INDEX('ORG-Metrics'!$A$1:$U$38,MATCH($A17,'ORG-Metrics'!$A$1:$A$38,0),MATCH(U$1,'ORG-Metrics'!$1:$1,0)),"")</f>
        <v>36.901447966707948</v>
      </c>
      <c r="W17" s="55">
        <f t="shared" si="0"/>
        <v>8511.8202646911523</v>
      </c>
      <c r="X17" s="52" t="str">
        <f t="shared" si="1"/>
        <v>Small</v>
      </c>
      <c r="Z17" s="52" t="str">
        <f t="shared" si="2"/>
        <v>Small</v>
      </c>
    </row>
    <row r="18" spans="1:26" x14ac:dyDescent="0.3">
      <c r="A18" s="30" t="str">
        <v>P</v>
      </c>
      <c r="B18" s="39">
        <f>IFERROR(INDEX('ORG-Metrics'!$A$1:$U$38,MATCH($A18,'ORG-Metrics'!$A$1:$A$38,0),MATCH(B$1,'ORG-Metrics'!$1:$1,0)),"")</f>
        <v>0.46548545309375511</v>
      </c>
      <c r="C18" s="39">
        <f>IFERROR(INDEX('ORG-Metrics'!$A$1:$U$38,MATCH($A18,'ORG-Metrics'!$A$1:$A$38,0),MATCH(C$1,'ORG-Metrics'!$1:$1,0)),"")</f>
        <v>1584.3486577548758</v>
      </c>
      <c r="D18" s="39">
        <f>IFERROR(INDEX('ORG-Metrics'!$A$1:$U$38,MATCH($A18,'ORG-Metrics'!$A$1:$A$38,0),MATCH(D$1,'ORG-Metrics'!$1:$1,0)),"")</f>
        <v>7151.246443734909</v>
      </c>
      <c r="E18" s="39">
        <f>IFERROR(INDEX('ORG-Metrics'!$A$1:$U$38,MATCH($A18,'ORG-Metrics'!$A$1:$A$38,0),MATCH(E$1,'ORG-Metrics'!$1:$1,0)),"")</f>
        <v>8.7504147151021977E-2</v>
      </c>
      <c r="F18" s="39">
        <f>IFERROR(INDEX('ORG-Metrics'!$A$1:$U$38,MATCH($A18,'ORG-Metrics'!$A$1:$A$38,0),MATCH(F$1,'ORG-Metrics'!$1:$1,0)),"")</f>
        <v>1.5348090594510574E-2</v>
      </c>
      <c r="G18" s="39">
        <f>IFERROR(INDEX('ORG-Metrics'!$A$1:$U$38,MATCH($A18,'ORG-Metrics'!$A$1:$A$38,0),MATCH(G$1,'ORG-Metrics'!$1:$1,0)),"")</f>
        <v>4.9685463594525109E-2</v>
      </c>
      <c r="H18" s="39">
        <f>IFERROR(INDEX('ORG-Metrics'!$A$1:$U$38,MATCH($A18,'ORG-Metrics'!$A$1:$A$38,0),MATCH(H$1,'ORG-Metrics'!$1:$1,0)),"")</f>
        <v>0.17414912023224718</v>
      </c>
      <c r="I18" s="39">
        <f>IFERROR(INDEX('ORG-Metrics'!$A$1:$U$38,MATCH($A18,'ORG-Metrics'!$A$1:$A$38,0),MATCH(I$1,'ORG-Metrics'!$1:$1,0)),"")</f>
        <v>5.6190879989231959E-2</v>
      </c>
      <c r="J18" s="39">
        <f>IFERROR(INDEX('ORG-Metrics'!$A$1:$U$38,MATCH($A18,'ORG-Metrics'!$A$1:$A$38,0),MATCH(J$1,'ORG-Metrics'!$1:$1,0)),"")</f>
        <v>0.29606267135069259</v>
      </c>
      <c r="K18" s="39">
        <f>IFERROR(INDEX('ORG-Metrics'!$A$1:$U$38,MATCH($A18,'ORG-Metrics'!$A$1:$A$38,0),MATCH(K$1,'ORG-Metrics'!$1:$1,0)),"")</f>
        <v>74493.556400467889</v>
      </c>
      <c r="L18" s="39">
        <f>IFERROR(INDEX('ORG-Metrics'!$A$1:$U$38,MATCH($A18,'ORG-Metrics'!$A$1:$A$38,0),MATCH(L$1,'ORG-Metrics'!$1:$1,0)),"")</f>
        <v>15622.35945343666</v>
      </c>
      <c r="M18" s="39">
        <f>IFERROR(INDEX('ORG-Metrics'!$A$1:$U$38,MATCH($A18,'ORG-Metrics'!$A$1:$A$38,0),MATCH(M$1,'ORG-Metrics'!$1:$1,0)),"")</f>
        <v>64475.689374190471</v>
      </c>
      <c r="N18" s="39">
        <f>IFERROR(INDEX('ORG-Metrics'!$A$1:$U$38,MATCH($A18,'ORG-Metrics'!$A$1:$A$38,0),MATCH(N$1,'ORG-Metrics'!$1:$1,0)),"")</f>
        <v>5230.1673756026175</v>
      </c>
      <c r="O18" s="39">
        <f>IFERROR(INDEX('ORG-Metrics'!$A$1:$U$38,MATCH($A18,'ORG-Metrics'!$A$1:$A$38,0),MATCH(O$1,'ORG-Metrics'!$1:$1,0)),"")</f>
        <v>397.07531552813305</v>
      </c>
      <c r="P18" s="39">
        <f>IFERROR(INDEX('ORG-Metrics'!$A$1:$U$38,MATCH($A18,'ORG-Metrics'!$A$1:$A$38,0),MATCH(P$1,'ORG-Metrics'!$1:$1,0)),"")</f>
        <v>71.009259436590284</v>
      </c>
      <c r="Q18" s="39">
        <f>IFERROR(INDEX('ORG-Metrics'!$A$1:$U$38,MATCH($A18,'ORG-Metrics'!$A$1:$A$38,0),MATCH(Q$1,'ORG-Metrics'!$1:$1,0)),"")</f>
        <v>173.72442402452526</v>
      </c>
      <c r="R18" s="39">
        <f>IFERROR(INDEX('ORG-Metrics'!$A$1:$U$38,MATCH($A18,'ORG-Metrics'!$A$1:$A$38,0),MATCH(R$1,'ORG-Metrics'!$1:$1,0)),"")</f>
        <v>77.521952554607211</v>
      </c>
      <c r="S18" s="39">
        <f>IFERROR(INDEX('ORG-Metrics'!$A$1:$U$38,MATCH($A18,'ORG-Metrics'!$A$1:$A$38,0),MATCH(S$1,'ORG-Metrics'!$1:$1,0)),"")</f>
        <v>5.6813994486795796</v>
      </c>
      <c r="T18" s="39">
        <f>IFERROR(INDEX('ORG-Metrics'!$A$1:$U$38,MATCH($A18,'ORG-Metrics'!$A$1:$A$38,0),MATCH(T$1,'ORG-Metrics'!$1:$1,0)),"")</f>
        <v>772.44387076205589</v>
      </c>
      <c r="U18" s="41">
        <f>IFERROR(INDEX('ORG-Metrics'!$A$1:$U$38,MATCH($A18,'ORG-Metrics'!$A$1:$A$38,0),MATCH(U$1,'ORG-Metrics'!$1:$1,0)),"")</f>
        <v>607.3098332800505</v>
      </c>
      <c r="W18" s="55">
        <f t="shared" si="0"/>
        <v>139366.32109018651</v>
      </c>
      <c r="X18" s="52" t="str">
        <f t="shared" si="1"/>
        <v>Medium</v>
      </c>
      <c r="Z18" s="52" t="str">
        <f t="shared" si="2"/>
        <v>Small</v>
      </c>
    </row>
    <row r="19" spans="1:26" x14ac:dyDescent="0.3">
      <c r="A19" s="31" t="str">
        <v>U</v>
      </c>
      <c r="B19" s="42">
        <f>IFERROR(INDEX('ORG-Metrics'!$A$1:$U$38,MATCH($A19,'ORG-Metrics'!$A$1:$A$38,0),MATCH(B$1,'ORG-Metrics'!$1:$1,0)),"")</f>
        <v>0.46743158167887983</v>
      </c>
      <c r="C19" s="42">
        <f>IFERROR(INDEX('ORG-Metrics'!$A$1:$U$38,MATCH($A19,'ORG-Metrics'!$A$1:$A$38,0),MATCH(C$1,'ORG-Metrics'!$1:$1,0)),"")</f>
        <v>1527.643155211239</v>
      </c>
      <c r="D19" s="42">
        <f>IFERROR(INDEX('ORG-Metrics'!$A$1:$U$38,MATCH($A19,'ORG-Metrics'!$A$1:$A$38,0),MATCH(D$1,'ORG-Metrics'!$1:$1,0)),"")</f>
        <v>6730.2161755300667</v>
      </c>
      <c r="E19" s="42">
        <f>IFERROR(INDEX('ORG-Metrics'!$A$1:$U$38,MATCH($A19,'ORG-Metrics'!$A$1:$A$38,0),MATCH(E$1,'ORG-Metrics'!$1:$1,0)),"")</f>
        <v>6.4718186807462469E-2</v>
      </c>
      <c r="F19" s="42">
        <f>IFERROR(INDEX('ORG-Metrics'!$A$1:$U$38,MATCH($A19,'ORG-Metrics'!$A$1:$A$38,0),MATCH(F$1,'ORG-Metrics'!$1:$1,0)),"")</f>
        <v>4.8847726996480594E-2</v>
      </c>
      <c r="G19" s="42">
        <f>IFERROR(INDEX('ORG-Metrics'!$A$1:$U$38,MATCH($A19,'ORG-Metrics'!$A$1:$A$38,0),MATCH(G$1,'ORG-Metrics'!$1:$1,0)),"")</f>
        <v>7.6600756666012043E-2</v>
      </c>
      <c r="H19" s="42">
        <f>IFERROR(INDEX('ORG-Metrics'!$A$1:$U$38,MATCH($A19,'ORG-Metrics'!$A$1:$A$38,0),MATCH(H$1,'ORG-Metrics'!$1:$1,0)),"")</f>
        <v>0.20323529135525553</v>
      </c>
      <c r="I19" s="42">
        <f>IFERROR(INDEX('ORG-Metrics'!$A$1:$U$38,MATCH($A19,'ORG-Metrics'!$A$1:$A$38,0),MATCH(I$1,'ORG-Metrics'!$1:$1,0)),"")</f>
        <v>2.362362242920487E-2</v>
      </c>
      <c r="J19" s="42">
        <f>IFERROR(INDEX('ORG-Metrics'!$A$1:$U$38,MATCH($A19,'ORG-Metrics'!$A$1:$A$38,0),MATCH(J$1,'ORG-Metrics'!$1:$1,0)),"")</f>
        <v>0.22268763185417395</v>
      </c>
      <c r="K19" s="42">
        <f>IFERROR(INDEX('ORG-Metrics'!$A$1:$U$38,MATCH($A19,'ORG-Metrics'!$A$1:$A$38,0),MATCH(K$1,'ORG-Metrics'!$1:$1,0)),"")</f>
        <v>78538.147078407812</v>
      </c>
      <c r="L19" s="42">
        <f>IFERROR(INDEX('ORG-Metrics'!$A$1:$U$38,MATCH($A19,'ORG-Metrics'!$A$1:$A$38,0),MATCH(L$1,'ORG-Metrics'!$1:$1,0)),"")</f>
        <v>26163.262784657381</v>
      </c>
      <c r="M19" s="42">
        <f>IFERROR(INDEX('ORG-Metrics'!$A$1:$U$38,MATCH($A19,'ORG-Metrics'!$A$1:$A$38,0),MATCH(M$1,'ORG-Metrics'!$1:$1,0)),"")</f>
        <v>57920.998596171819</v>
      </c>
      <c r="N19" s="42">
        <f>IFERROR(INDEX('ORG-Metrics'!$A$1:$U$38,MATCH($A19,'ORG-Metrics'!$A$1:$A$38,0),MATCH(N$1,'ORG-Metrics'!$1:$1,0)),"")</f>
        <v>7760.1376616265507</v>
      </c>
      <c r="O19" s="42">
        <f>IFERROR(INDEX('ORG-Metrics'!$A$1:$U$38,MATCH($A19,'ORG-Metrics'!$A$1:$A$38,0),MATCH(O$1,'ORG-Metrics'!$1:$1,0)),"")</f>
        <v>6699.0479365288775</v>
      </c>
      <c r="P19" s="42">
        <f>IFERROR(INDEX('ORG-Metrics'!$A$1:$U$38,MATCH($A19,'ORG-Metrics'!$A$1:$A$38,0),MATCH(P$1,'ORG-Metrics'!$1:$1,0)),"")</f>
        <v>1605.487442384672</v>
      </c>
      <c r="Q19" s="42">
        <f>IFERROR(INDEX('ORG-Metrics'!$A$1:$U$38,MATCH($A19,'ORG-Metrics'!$A$1:$A$38,0),MATCH(Q$1,'ORG-Metrics'!$1:$1,0)),"")</f>
        <v>120.23581026913766</v>
      </c>
      <c r="R19" s="42">
        <f>IFERROR(INDEX('ORG-Metrics'!$A$1:$U$38,MATCH($A19,'ORG-Metrics'!$A$1:$A$38,0),MATCH(R$1,'ORG-Metrics'!$1:$1,0)),"")</f>
        <v>43.175849910904347</v>
      </c>
      <c r="S19" s="42">
        <f>IFERROR(INDEX('ORG-Metrics'!$A$1:$U$38,MATCH($A19,'ORG-Metrics'!$A$1:$A$38,0),MATCH(S$1,'ORG-Metrics'!$1:$1,0)),"")</f>
        <v>0.99234676966958157</v>
      </c>
      <c r="T19" s="42">
        <f>IFERROR(INDEX('ORG-Metrics'!$A$1:$U$38,MATCH($A19,'ORG-Metrics'!$A$1:$A$38,0),MATCH(T$1,'ORG-Metrics'!$1:$1,0)),"")</f>
        <v>163.83943671668527</v>
      </c>
      <c r="U19" s="43">
        <f>IFERROR(INDEX('ORG-Metrics'!$A$1:$U$38,MATCH($A19,'ORG-Metrics'!$A$1:$A$38,0),MATCH(U$1,'ORG-Metrics'!$1:$1,0)),"")</f>
        <v>108.36699978916916</v>
      </c>
      <c r="W19" s="56">
        <f t="shared" si="0"/>
        <v>143158.19361110852</v>
      </c>
      <c r="X19" s="53" t="str">
        <f t="shared" si="1"/>
        <v>Medium</v>
      </c>
      <c r="Z19" s="53" t="str">
        <f t="shared" si="2"/>
        <v>Small</v>
      </c>
    </row>
    <row r="20" spans="1:26" ht="16.2" thickBot="1" x14ac:dyDescent="0.35"/>
    <row r="21" spans="1:26" ht="16.2" thickBot="1" x14ac:dyDescent="0.35">
      <c r="A21" s="106" t="s">
        <v>192</v>
      </c>
      <c r="B21" s="105">
        <f t="shared" ref="B21:U21" si="3">STDEV(B2:B19)</f>
        <v>1.3949542763519035E-2</v>
      </c>
      <c r="C21" s="105">
        <f t="shared" si="3"/>
        <v>37.491742173426978</v>
      </c>
      <c r="D21" s="105">
        <f t="shared" si="3"/>
        <v>4014.6481065525732</v>
      </c>
      <c r="E21" s="105">
        <f t="shared" si="3"/>
        <v>2.0213253474784677E-2</v>
      </c>
      <c r="F21" s="105">
        <f t="shared" si="3"/>
        <v>1.2544399250846531E-2</v>
      </c>
      <c r="G21" s="105">
        <f t="shared" si="3"/>
        <v>4.44270982384345E-2</v>
      </c>
      <c r="H21" s="105">
        <f t="shared" si="3"/>
        <v>6.8143970257272382E-2</v>
      </c>
      <c r="I21" s="105">
        <f t="shared" si="3"/>
        <v>1.8293868623959986E-2</v>
      </c>
      <c r="J21" s="105">
        <f t="shared" si="3"/>
        <v>0.19353195640705589</v>
      </c>
      <c r="K21" s="105">
        <f t="shared" si="3"/>
        <v>41749.236245700144</v>
      </c>
      <c r="L21" s="105">
        <f t="shared" si="3"/>
        <v>9367.1421223429006</v>
      </c>
      <c r="M21" s="105">
        <f t="shared" si="3"/>
        <v>37532.708364743652</v>
      </c>
      <c r="N21" s="105">
        <f t="shared" si="3"/>
        <v>4026.2585673846625</v>
      </c>
      <c r="O21" s="105">
        <f t="shared" si="3"/>
        <v>12913.039052804848</v>
      </c>
      <c r="P21" s="105">
        <f t="shared" si="3"/>
        <v>879.44206228972189</v>
      </c>
      <c r="Q21" s="105">
        <f t="shared" si="3"/>
        <v>127.10507669024501</v>
      </c>
      <c r="R21" s="105">
        <f t="shared" si="3"/>
        <v>59.797583876607206</v>
      </c>
      <c r="S21" s="105">
        <f t="shared" si="3"/>
        <v>1.270450652444358</v>
      </c>
      <c r="T21" s="105">
        <f t="shared" si="3"/>
        <v>202.34333101569555</v>
      </c>
      <c r="U21" s="105">
        <f t="shared" si="3"/>
        <v>147.03679928398799</v>
      </c>
    </row>
    <row r="22" spans="1:26" ht="16.2" thickBot="1" x14ac:dyDescent="0.35">
      <c r="A22" s="107" t="s">
        <v>114</v>
      </c>
      <c r="B22" s="105">
        <f t="shared" ref="B22:U22" si="4">SUM(B2:B19)/18</f>
        <v>0.44556004264642507</v>
      </c>
      <c r="C22" s="105">
        <f t="shared" si="4"/>
        <v>1531.8159241582773</v>
      </c>
      <c r="D22" s="105">
        <f t="shared" si="4"/>
        <v>9877.4218031688051</v>
      </c>
      <c r="E22" s="105">
        <f t="shared" si="4"/>
        <v>7.2457369562046861E-2</v>
      </c>
      <c r="F22" s="105">
        <f t="shared" si="4"/>
        <v>2.008052137620667E-2</v>
      </c>
      <c r="G22" s="105">
        <f t="shared" si="4"/>
        <v>8.1355476049456477E-2</v>
      </c>
      <c r="H22" s="105">
        <f t="shared" si="4"/>
        <v>0.23521366807707444</v>
      </c>
      <c r="I22" s="105">
        <f t="shared" si="4"/>
        <v>3.6108715834892856E-2</v>
      </c>
      <c r="J22" s="105">
        <f t="shared" si="4"/>
        <v>0.29054675412018127</v>
      </c>
      <c r="K22" s="105">
        <f t="shared" si="4"/>
        <v>90716.287817595599</v>
      </c>
      <c r="L22" s="105">
        <f t="shared" si="4"/>
        <v>15204.472820001916</v>
      </c>
      <c r="M22" s="105">
        <f t="shared" si="4"/>
        <v>80714.758081460153</v>
      </c>
      <c r="N22" s="105">
        <f t="shared" si="4"/>
        <v>6244.3063254439685</v>
      </c>
      <c r="O22" s="105">
        <f t="shared" si="4"/>
        <v>11139.839437990178</v>
      </c>
      <c r="P22" s="105">
        <f t="shared" si="4"/>
        <v>798.57378854259105</v>
      </c>
      <c r="Q22" s="105">
        <f t="shared" si="4"/>
        <v>195.82078945859718</v>
      </c>
      <c r="R22" s="105">
        <f t="shared" si="4"/>
        <v>78.28582263348973</v>
      </c>
      <c r="S22" s="105">
        <f t="shared" si="4"/>
        <v>1.6817051137674857</v>
      </c>
      <c r="T22" s="105">
        <f t="shared" si="4"/>
        <v>269.48699475623579</v>
      </c>
      <c r="U22" s="105">
        <f t="shared" si="4"/>
        <v>167.32115114428993</v>
      </c>
    </row>
    <row r="23" spans="1:26" ht="16.2" thickBot="1" x14ac:dyDescent="0.35">
      <c r="A23" s="105"/>
      <c r="B23" s="103"/>
    </row>
    <row r="24" spans="1:26" ht="16.2" thickBot="1" x14ac:dyDescent="0.35">
      <c r="A24" s="106" t="s">
        <v>193</v>
      </c>
      <c r="B24" s="104">
        <f t="shared" ref="B24:U24" si="5">B21/B22</f>
        <v>3.1307885421379043E-2</v>
      </c>
      <c r="C24" s="104">
        <f t="shared" si="5"/>
        <v>2.4475357373000571E-2</v>
      </c>
      <c r="D24" s="104">
        <f t="shared" si="5"/>
        <v>0.40644696425383209</v>
      </c>
      <c r="E24" s="104">
        <f t="shared" si="5"/>
        <v>0.27896753079720371</v>
      </c>
      <c r="F24" s="104">
        <f t="shared" si="5"/>
        <v>0.62470485779867946</v>
      </c>
      <c r="G24" s="104">
        <f t="shared" si="5"/>
        <v>0.54608614436017811</v>
      </c>
      <c r="H24" s="104">
        <f t="shared" si="5"/>
        <v>0.28971092885190275</v>
      </c>
      <c r="I24" s="104">
        <f t="shared" si="5"/>
        <v>0.50663304415501009</v>
      </c>
      <c r="J24" s="104">
        <f t="shared" si="5"/>
        <v>0.66609574418788264</v>
      </c>
      <c r="K24" s="104">
        <f t="shared" si="5"/>
        <v>0.46021764393232079</v>
      </c>
      <c r="L24" s="104">
        <f t="shared" si="5"/>
        <v>0.61607806026790746</v>
      </c>
      <c r="M24" s="104">
        <f t="shared" si="5"/>
        <v>0.46500428492722895</v>
      </c>
      <c r="N24" s="104">
        <f t="shared" si="5"/>
        <v>0.64478876556370679</v>
      </c>
      <c r="O24" s="104">
        <f t="shared" si="5"/>
        <v>1.1591764068670083</v>
      </c>
      <c r="P24" s="104">
        <f t="shared" si="5"/>
        <v>1.1012658753735414</v>
      </c>
      <c r="Q24" s="104">
        <f t="shared" si="5"/>
        <v>0.64908877674154775</v>
      </c>
      <c r="R24" s="104">
        <f t="shared" si="5"/>
        <v>0.76383669309526447</v>
      </c>
      <c r="S24" s="104">
        <f t="shared" si="5"/>
        <v>0.75545387954383769</v>
      </c>
      <c r="T24" s="104">
        <f t="shared" si="5"/>
        <v>0.7508463671826725</v>
      </c>
      <c r="U24" s="104">
        <f t="shared" si="5"/>
        <v>0.87876994796187091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3A1E-E4F0-4E32-9E04-FBD9523C79FF}">
  <sheetPr codeName="Sheet16"/>
  <dimension ref="A1:Z25"/>
  <sheetViews>
    <sheetView workbookViewId="0">
      <selection activeCell="H26" sqref="H26"/>
    </sheetView>
  </sheetViews>
  <sheetFormatPr defaultColWidth="8.8984375" defaultRowHeight="15.6" x14ac:dyDescent="0.3"/>
  <cols>
    <col min="1" max="1" width="20" customWidth="1"/>
    <col min="2" max="21" width="10.59765625" customWidth="1"/>
    <col min="26" max="26" width="12.09765625" customWidth="1"/>
  </cols>
  <sheetData>
    <row r="1" spans="1:26" ht="60" customHeight="1" x14ac:dyDescent="0.3">
      <c r="A1" s="33" t="s">
        <v>6</v>
      </c>
      <c r="B1" s="34" t="s">
        <v>47</v>
      </c>
      <c r="C1" s="35" t="s">
        <v>44</v>
      </c>
      <c r="D1" s="35" t="s">
        <v>42</v>
      </c>
      <c r="E1" s="35" t="s">
        <v>48</v>
      </c>
      <c r="F1" s="35" t="s">
        <v>49</v>
      </c>
      <c r="G1" s="35" t="s">
        <v>50</v>
      </c>
      <c r="H1" s="35" t="s">
        <v>51</v>
      </c>
      <c r="I1" s="35" t="s">
        <v>52</v>
      </c>
      <c r="J1" s="35" t="s">
        <v>53</v>
      </c>
      <c r="K1" s="36" t="s">
        <v>54</v>
      </c>
      <c r="L1" s="35" t="s">
        <v>55</v>
      </c>
      <c r="M1" s="36" t="s">
        <v>45</v>
      </c>
      <c r="N1" s="35" t="s">
        <v>56</v>
      </c>
      <c r="O1" s="36" t="s">
        <v>57</v>
      </c>
      <c r="P1" s="35" t="s">
        <v>58</v>
      </c>
      <c r="Q1" s="35" t="s">
        <v>43</v>
      </c>
      <c r="R1" s="35" t="s">
        <v>59</v>
      </c>
      <c r="S1" s="35" t="s">
        <v>60</v>
      </c>
      <c r="T1" s="35" t="s">
        <v>61</v>
      </c>
      <c r="U1" s="37" t="s">
        <v>62</v>
      </c>
      <c r="W1" s="49" t="s">
        <v>189</v>
      </c>
      <c r="X1" s="58" t="s">
        <v>190</v>
      </c>
      <c r="Z1" s="57" t="s">
        <v>191</v>
      </c>
    </row>
    <row r="2" spans="1:26" x14ac:dyDescent="0.3">
      <c r="A2" s="38" t="str" cm="1">
        <f t="array" ref="A2:A20">_xlfn._xlws.FILTER('Hospital Parsing'!B1:B38,'Hospital Parsing'!D1:D38=0)</f>
        <v>AD</v>
      </c>
      <c r="B2" s="39">
        <f>IFERROR(INDEX('ORG-Metrics'!$A$1:$U$38,MATCH($A2,'ORG-Metrics'!$A$1:$A$38,0),MATCH(B$1,'ORG-Metrics'!$1:$1,0)),"")</f>
        <v>0.19805403614825118</v>
      </c>
      <c r="C2" s="39">
        <f>IFERROR(INDEX('ORG-Metrics'!$A$1:$U$38,MATCH($A2,'ORG-Metrics'!$A$1:$A$38,0),MATCH(C$1,'ORG-Metrics'!$1:$1,0)),"")</f>
        <v>1112.77459307856</v>
      </c>
      <c r="D2" s="39">
        <f>IFERROR(INDEX('ORG-Metrics'!$A$1:$U$38,MATCH($A2,'ORG-Metrics'!$A$1:$A$38,0),MATCH(D$1,'ORG-Metrics'!$1:$1,0)),"")</f>
        <v>8245.7382661362099</v>
      </c>
      <c r="E2" s="39">
        <f>IFERROR(INDEX('ORG-Metrics'!$A$1:$U$38,MATCH($A2,'ORG-Metrics'!$A$1:$A$38,0),MATCH(E$1,'ORG-Metrics'!$1:$1,0)),"")</f>
        <v>6.7367526450994572E-2</v>
      </c>
      <c r="F2" s="39">
        <f>IFERROR(INDEX('ORG-Metrics'!$A$1:$U$38,MATCH($A2,'ORG-Metrics'!$A$1:$A$38,0),MATCH(F$1,'ORG-Metrics'!$1:$1,0)),"")</f>
        <v>1.6076936165899669E-2</v>
      </c>
      <c r="G2" s="39">
        <f>IFERROR(INDEX('ORG-Metrics'!$A$1:$U$38,MATCH($A2,'ORG-Metrics'!$A$1:$A$38,0),MATCH(G$1,'ORG-Metrics'!$1:$1,0)),"")</f>
        <v>8.5624114246583782E-2</v>
      </c>
      <c r="H2" s="39">
        <f>IFERROR(INDEX('ORG-Metrics'!$A$1:$U$38,MATCH($A2,'ORG-Metrics'!$A$1:$A$38,0),MATCH(H$1,'ORG-Metrics'!$1:$1,0)),"")</f>
        <v>0.18214561238977695</v>
      </c>
      <c r="I2" s="39">
        <f>IFERROR(INDEX('ORG-Metrics'!$A$1:$U$38,MATCH($A2,'ORG-Metrics'!$A$1:$A$38,0),MATCH(I$1,'ORG-Metrics'!$1:$1,0)),"")</f>
        <v>2.9768641132181282E-2</v>
      </c>
      <c r="J2" s="39">
        <f>IFERROR(INDEX('ORG-Metrics'!$A$1:$U$38,MATCH($A2,'ORG-Metrics'!$A$1:$A$38,0),MATCH(J$1,'ORG-Metrics'!$1:$1,0)),"")</f>
        <v>0.29815592265955021</v>
      </c>
      <c r="K2" s="39">
        <f>IFERROR(INDEX('ORG-Metrics'!$A$1:$U$38,MATCH($A2,'ORG-Metrics'!$A$1:$A$38,0),MATCH(K$1,'ORG-Metrics'!$1:$1,0)),"")</f>
        <v>123880.65341485252</v>
      </c>
      <c r="L2" s="39">
        <f>IFERROR(INDEX('ORG-Metrics'!$A$1:$U$38,MATCH($A2,'ORG-Metrics'!$A$1:$A$38,0),MATCH(L$1,'ORG-Metrics'!$1:$1,0)),"")</f>
        <v>14626.269349176233</v>
      </c>
      <c r="M2" s="39">
        <f>IFERROR(INDEX('ORG-Metrics'!$A$1:$U$38,MATCH($A2,'ORG-Metrics'!$A$1:$A$38,0),MATCH(M$1,'ORG-Metrics'!$1:$1,0)),"")</f>
        <v>48005.22037165839</v>
      </c>
      <c r="N2" s="39">
        <f>IFERROR(INDEX('ORG-Metrics'!$A$1:$U$38,MATCH($A2,'ORG-Metrics'!$A$1:$A$38,0),MATCH(N$1,'ORG-Metrics'!$1:$1,0)),"")</f>
        <v>4881.4469107790192</v>
      </c>
      <c r="O2" s="39">
        <f>IFERROR(INDEX('ORG-Metrics'!$A$1:$U$38,MATCH($A2,'ORG-Metrics'!$A$1:$A$38,0),MATCH(O$1,'ORG-Metrics'!$1:$1,0)),"")</f>
        <v>5221.0480762916668</v>
      </c>
      <c r="P2" s="39">
        <f>IFERROR(INDEX('ORG-Metrics'!$A$1:$U$38,MATCH($A2,'ORG-Metrics'!$A$1:$A$38,0),MATCH(P$1,'ORG-Metrics'!$1:$1,0)),"")</f>
        <v>141.38380817064365</v>
      </c>
      <c r="Q2" s="39">
        <f>IFERROR(INDEX('ORG-Metrics'!$A$1:$U$38,MATCH($A2,'ORG-Metrics'!$A$1:$A$38,0),MATCH(Q$1,'ORG-Metrics'!$1:$1,0)),"")</f>
        <v>263.83079194436544</v>
      </c>
      <c r="R2" s="39">
        <f>IFERROR(INDEX('ORG-Metrics'!$A$1:$U$38,MATCH($A2,'ORG-Metrics'!$A$1:$A$38,0),MATCH(R$1,'ORG-Metrics'!$1:$1,0)),"")</f>
        <v>109.71128044037862</v>
      </c>
      <c r="S2" s="39">
        <f>IFERROR(INDEX('ORG-Metrics'!$A$1:$U$38,MATCH($A2,'ORG-Metrics'!$A$1:$A$38,0),MATCH(S$1,'ORG-Metrics'!$1:$1,0)),"")</f>
        <v>4.1119793795157076</v>
      </c>
      <c r="T2" s="39">
        <f>IFERROR(INDEX('ORG-Metrics'!$A$1:$U$38,MATCH($A2,'ORG-Metrics'!$A$1:$A$38,0),MATCH(T$1,'ORG-Metrics'!$1:$1,0)),"")</f>
        <v>1094.4688107678758</v>
      </c>
      <c r="U2" s="39">
        <f>IFERROR(INDEX('ORG-Metrics'!$A$1:$U$38,MATCH($A2,'ORG-Metrics'!$A$1:$A$38,0),MATCH(U$1,'ORG-Metrics'!$1:$1,0)),"")</f>
        <v>755.68446898847117</v>
      </c>
      <c r="W2" s="26">
        <f>SUM(K2,M2,O2)</f>
        <v>177106.92186280256</v>
      </c>
      <c r="X2" s="59" t="str">
        <f>IF(W2&lt;=MIN($W$2:$W$20)+(MAX($W$2:$W$20)-MIN($W$2:$W$20))/3, "Small", IF(W2&lt;=MIN($W$2:$W$20)+(MAX($W$2:$W$20)-MIN($W$2:$W$20))*2/3, "Medium", "Large"))</f>
        <v>Large</v>
      </c>
      <c r="Z2" s="29" t="str">
        <f>IF(D2&lt;=MIN($D$2:$D$20)+(MAX($D$2:$D$20)-MIN($D$2:$D$20))/3, "Small", IF(D2&lt;=MIN($D$2:$D$20)+(MAX($D$2:$D$20)-MIN($D$2:$D$20))*2/3, "Medium", "Large"))</f>
        <v>Large</v>
      </c>
    </row>
    <row r="3" spans="1:26" x14ac:dyDescent="0.3">
      <c r="A3" s="30" t="str">
        <v>C</v>
      </c>
      <c r="B3" s="39">
        <f>IFERROR(INDEX('ORG-Metrics'!$A$1:$U$38,MATCH($A3,'ORG-Metrics'!$A$1:$A$38,0),MATCH(B$1,'ORG-Metrics'!$1:$1,0)),"")</f>
        <v>0.19038165815421354</v>
      </c>
      <c r="C3" s="39">
        <f>IFERROR(INDEX('ORG-Metrics'!$A$1:$U$38,MATCH($A3,'ORG-Metrics'!$A$1:$A$38,0),MATCH(C$1,'ORG-Metrics'!$1:$1,0)),"")</f>
        <v>1104.8261949759697</v>
      </c>
      <c r="D3" s="39">
        <f>IFERROR(INDEX('ORG-Metrics'!$A$1:$U$38,MATCH($A3,'ORG-Metrics'!$A$1:$A$38,0),MATCH(D$1,'ORG-Metrics'!$1:$1,0)),"")</f>
        <v>9613.9982070311125</v>
      </c>
      <c r="E3" s="39">
        <f>IFERROR(INDEX('ORG-Metrics'!$A$1:$U$38,MATCH($A3,'ORG-Metrics'!$A$1:$A$38,0),MATCH(E$1,'ORG-Metrics'!$1:$1,0)),"")</f>
        <v>8.5015690308577335E-2</v>
      </c>
      <c r="F3" s="39">
        <f>IFERROR(INDEX('ORG-Metrics'!$A$1:$U$38,MATCH($A3,'ORG-Metrics'!$A$1:$A$38,0),MATCH(F$1,'ORG-Metrics'!$1:$1,0)),"")</f>
        <v>1.1399527565068823E-2</v>
      </c>
      <c r="G3" s="39">
        <f>IFERROR(INDEX('ORG-Metrics'!$A$1:$U$38,MATCH($A3,'ORG-Metrics'!$A$1:$A$38,0),MATCH(G$1,'ORG-Metrics'!$1:$1,0)),"")</f>
        <v>5.4118006055844742E-2</v>
      </c>
      <c r="H3" s="39">
        <f>IFERROR(INDEX('ORG-Metrics'!$A$1:$U$38,MATCH($A3,'ORG-Metrics'!$A$1:$A$38,0),MATCH(H$1,'ORG-Metrics'!$1:$1,0)),"")</f>
        <v>0.20428384806890468</v>
      </c>
      <c r="I3" s="39">
        <f>IFERROR(INDEX('ORG-Metrics'!$A$1:$U$38,MATCH($A3,'ORG-Metrics'!$A$1:$A$38,0),MATCH(I$1,'ORG-Metrics'!$1:$1,0)),"")</f>
        <v>1.6600488859305488E-2</v>
      </c>
      <c r="J3" s="39">
        <f>IFERROR(INDEX('ORG-Metrics'!$A$1:$U$38,MATCH($A3,'ORG-Metrics'!$A$1:$A$38,0),MATCH(J$1,'ORG-Metrics'!$1:$1,0)),"")</f>
        <v>0.22914320389024975</v>
      </c>
      <c r="K3" s="39">
        <f>IFERROR(INDEX('ORG-Metrics'!$A$1:$U$38,MATCH($A3,'ORG-Metrics'!$A$1:$A$38,0),MATCH(K$1,'ORG-Metrics'!$1:$1,0)),"")</f>
        <v>79401.36053415155</v>
      </c>
      <c r="L3" s="39">
        <f>IFERROR(INDEX('ORG-Metrics'!$A$1:$U$38,MATCH($A3,'ORG-Metrics'!$A$1:$A$38,0),MATCH(L$1,'ORG-Metrics'!$1:$1,0)),"")</f>
        <v>17418.762685074696</v>
      </c>
      <c r="M3" s="39">
        <f>IFERROR(INDEX('ORG-Metrics'!$A$1:$U$38,MATCH($A3,'ORG-Metrics'!$A$1:$A$38,0),MATCH(M$1,'ORG-Metrics'!$1:$1,0)),"")</f>
        <v>63528.313206223524</v>
      </c>
      <c r="N3" s="39">
        <f>IFERROR(INDEX('ORG-Metrics'!$A$1:$U$38,MATCH($A3,'ORG-Metrics'!$A$1:$A$38,0),MATCH(N$1,'ORG-Metrics'!$1:$1,0)),"")</f>
        <v>5212.0058103679439</v>
      </c>
      <c r="O3" s="39">
        <f>IFERROR(INDEX('ORG-Metrics'!$A$1:$U$38,MATCH($A3,'ORG-Metrics'!$A$1:$A$38,0),MATCH(O$1,'ORG-Metrics'!$1:$1,0)),"")</f>
        <v>241.16985519715291</v>
      </c>
      <c r="P3" s="39">
        <f>IFERROR(INDEX('ORG-Metrics'!$A$1:$U$38,MATCH($A3,'ORG-Metrics'!$A$1:$A$38,0),MATCH(P$1,'ORG-Metrics'!$1:$1,0)),"")</f>
        <v>42.191469159453753</v>
      </c>
      <c r="Q3" s="39">
        <f>IFERROR(INDEX('ORG-Metrics'!$A$1:$U$38,MATCH($A3,'ORG-Metrics'!$A$1:$A$38,0),MATCH(Q$1,'ORG-Metrics'!$1:$1,0)),"")</f>
        <v>170.07518339830216</v>
      </c>
      <c r="R3" s="39">
        <f>IFERROR(INDEX('ORG-Metrics'!$A$1:$U$38,MATCH($A3,'ORG-Metrics'!$A$1:$A$38,0),MATCH(R$1,'ORG-Metrics'!$1:$1,0)),"")</f>
        <v>26.843194935564881</v>
      </c>
      <c r="S3" s="39">
        <f>IFERROR(INDEX('ORG-Metrics'!$A$1:$U$38,MATCH($A3,'ORG-Metrics'!$A$1:$A$38,0),MATCH(S$1,'ORG-Metrics'!$1:$1,0)),"")</f>
        <v>2.2604189350500761</v>
      </c>
      <c r="T3" s="39">
        <f>IFERROR(INDEX('ORG-Metrics'!$A$1:$U$38,MATCH($A3,'ORG-Metrics'!$A$1:$A$38,0),MATCH(T$1,'ORG-Metrics'!$1:$1,0)),"")</f>
        <v>325.47077627499004</v>
      </c>
      <c r="U3" s="39">
        <f>IFERROR(INDEX('ORG-Metrics'!$A$1:$U$38,MATCH($A3,'ORG-Metrics'!$A$1:$A$38,0),MATCH(U$1,'ORG-Metrics'!$1:$1,0)),"")</f>
        <v>226.24617248399267</v>
      </c>
      <c r="W3" s="27">
        <f t="shared" ref="W3:W20" si="0">SUM(K3,M3,O3)</f>
        <v>143170.84359557225</v>
      </c>
      <c r="X3" s="60" t="str">
        <f t="shared" ref="X3:X20" si="1">IF(W3&lt;=MIN($W$2:$W$20)+(MAX($W$2:$W$20)-MIN($W$2:$W$20))/3, "Small", IF(W3&lt;=MIN($W$2:$W$20)+(MAX($W$2:$W$20)-MIN($W$2:$W$20))*2/3, "Medium", "Large"))</f>
        <v>Medium</v>
      </c>
      <c r="Z3" s="30" t="str">
        <f t="shared" ref="Z3:Z20" si="2">IF(D3&lt;=MIN($D$2:$D$20)+(MAX($D$2:$D$20)-MIN($D$2:$D$20))/3, "Small", IF(D3&lt;=MIN($D$2:$D$20)+(MAX($D$2:$D$20)-MIN($D$2:$D$20))*2/3, "Medium", "Large"))</f>
        <v>Large</v>
      </c>
    </row>
    <row r="4" spans="1:26" x14ac:dyDescent="0.3">
      <c r="A4" s="30" t="str">
        <v>N</v>
      </c>
      <c r="B4" s="39">
        <f>IFERROR(INDEX('ORG-Metrics'!$A$1:$U$38,MATCH($A4,'ORG-Metrics'!$A$1:$A$38,0),MATCH(B$1,'ORG-Metrics'!$1:$1,0)),"")</f>
        <v>0.20043465871250746</v>
      </c>
      <c r="C4" s="39">
        <f>IFERROR(INDEX('ORG-Metrics'!$A$1:$U$38,MATCH($A4,'ORG-Metrics'!$A$1:$A$38,0),MATCH(C$1,'ORG-Metrics'!$1:$1,0)),"")</f>
        <v>1107.1285194038619</v>
      </c>
      <c r="D4" s="39">
        <f>IFERROR(INDEX('ORG-Metrics'!$A$1:$U$38,MATCH($A4,'ORG-Metrics'!$A$1:$A$38,0),MATCH(D$1,'ORG-Metrics'!$1:$1,0)),"")</f>
        <v>7661.7998353502044</v>
      </c>
      <c r="E4" s="39">
        <f>IFERROR(INDEX('ORG-Metrics'!$A$1:$U$38,MATCH($A4,'ORG-Metrics'!$A$1:$A$38,0),MATCH(E$1,'ORG-Metrics'!$1:$1,0)),"")</f>
        <v>8.9682176744641184E-2</v>
      </c>
      <c r="F4" s="39">
        <f>IFERROR(INDEX('ORG-Metrics'!$A$1:$U$38,MATCH($A4,'ORG-Metrics'!$A$1:$A$38,0),MATCH(F$1,'ORG-Metrics'!$1:$1,0)),"")</f>
        <v>2.0060954125811836E-2</v>
      </c>
      <c r="G4" s="39">
        <f>IFERROR(INDEX('ORG-Metrics'!$A$1:$U$38,MATCH($A4,'ORG-Metrics'!$A$1:$A$38,0),MATCH(G$1,'ORG-Metrics'!$1:$1,0)),"")</f>
        <v>7.7669836648223592E-2</v>
      </c>
      <c r="H4" s="39">
        <f>IFERROR(INDEX('ORG-Metrics'!$A$1:$U$38,MATCH($A4,'ORG-Metrics'!$A$1:$A$38,0),MATCH(H$1,'ORG-Metrics'!$1:$1,0)),"")</f>
        <v>9.8492287569880266E-2</v>
      </c>
      <c r="I4" s="39">
        <f>IFERROR(INDEX('ORG-Metrics'!$A$1:$U$38,MATCH($A4,'ORG-Metrics'!$A$1:$A$38,0),MATCH(I$1,'ORG-Metrics'!$1:$1,0)),"")</f>
        <v>2.1112612869697737E-2</v>
      </c>
      <c r="J4" s="39">
        <f>IFERROR(INDEX('ORG-Metrics'!$A$1:$U$38,MATCH($A4,'ORG-Metrics'!$A$1:$A$38,0),MATCH(J$1,'ORG-Metrics'!$1:$1,0)),"")</f>
        <v>0.33344693663405878</v>
      </c>
      <c r="K4" s="39">
        <f>IFERROR(INDEX('ORG-Metrics'!$A$1:$U$38,MATCH($A4,'ORG-Metrics'!$A$1:$A$38,0),MATCH(K$1,'ORG-Metrics'!$1:$1,0)),"")</f>
        <v>95569.701773045294</v>
      </c>
      <c r="L4" s="39">
        <f>IFERROR(INDEX('ORG-Metrics'!$A$1:$U$38,MATCH($A4,'ORG-Metrics'!$A$1:$A$38,0),MATCH(L$1,'ORG-Metrics'!$1:$1,0)),"")</f>
        <v>10086.311301212774</v>
      </c>
      <c r="M4" s="39">
        <f>IFERROR(INDEX('ORG-Metrics'!$A$1:$U$38,MATCH($A4,'ORG-Metrics'!$A$1:$A$38,0),MATCH(M$1,'ORG-Metrics'!$1:$1,0)),"")</f>
        <v>44565.984445922033</v>
      </c>
      <c r="N4" s="39">
        <f>IFERROR(INDEX('ORG-Metrics'!$A$1:$U$38,MATCH($A4,'ORG-Metrics'!$A$1:$A$38,0),MATCH(N$1,'ORG-Metrics'!$1:$1,0)),"")</f>
        <v>2178.8549155388723</v>
      </c>
      <c r="O4" s="39">
        <f>IFERROR(INDEX('ORG-Metrics'!$A$1:$U$38,MATCH($A4,'ORG-Metrics'!$A$1:$A$38,0),MATCH(O$1,'ORG-Metrics'!$1:$1,0)),"")</f>
        <v>16816.911870098618</v>
      </c>
      <c r="P4" s="39">
        <f>IFERROR(INDEX('ORG-Metrics'!$A$1:$U$38,MATCH($A4,'ORG-Metrics'!$A$1:$A$38,0),MATCH(P$1,'ORG-Metrics'!$1:$1,0)),"")</f>
        <v>486.24875288542768</v>
      </c>
      <c r="Q4" s="39">
        <f>IFERROR(INDEX('ORG-Metrics'!$A$1:$U$38,MATCH($A4,'ORG-Metrics'!$A$1:$A$38,0),MATCH(Q$1,'ORG-Metrics'!$1:$1,0)),"")</f>
        <v>317.98848134938123</v>
      </c>
      <c r="R4" s="39">
        <f>IFERROR(INDEX('ORG-Metrics'!$A$1:$U$38,MATCH($A4,'ORG-Metrics'!$A$1:$A$38,0),MATCH(R$1,'ORG-Metrics'!$1:$1,0)),"")</f>
        <v>142.52169507119976</v>
      </c>
      <c r="S4" s="39">
        <f>IFERROR(INDEX('ORG-Metrics'!$A$1:$U$38,MATCH($A4,'ORG-Metrics'!$A$1:$A$38,0),MATCH(S$1,'ORG-Metrics'!$1:$1,0)),"")</f>
        <v>2.8260432414205643</v>
      </c>
      <c r="T4" s="39">
        <f>IFERROR(INDEX('ORG-Metrics'!$A$1:$U$38,MATCH($A4,'ORG-Metrics'!$A$1:$A$38,0),MATCH(T$1,'ORG-Metrics'!$1:$1,0)),"")</f>
        <v>265.55674977708304</v>
      </c>
      <c r="U4" s="39">
        <f>IFERROR(INDEX('ORG-Metrics'!$A$1:$U$38,MATCH($A4,'ORG-Metrics'!$A$1:$A$38,0),MATCH(U$1,'ORG-Metrics'!$1:$1,0)),"")</f>
        <v>189.23055167909979</v>
      </c>
      <c r="W4" s="27">
        <f t="shared" si="0"/>
        <v>156952.59808906593</v>
      </c>
      <c r="X4" s="60" t="str">
        <f t="shared" si="1"/>
        <v>Medium</v>
      </c>
      <c r="Z4" s="30" t="str">
        <f t="shared" si="2"/>
        <v>Large</v>
      </c>
    </row>
    <row r="5" spans="1:26" x14ac:dyDescent="0.3">
      <c r="A5" s="30" t="str">
        <v>O</v>
      </c>
      <c r="B5" s="39">
        <f>IFERROR(INDEX('ORG-Metrics'!$A$1:$U$38,MATCH($A5,'ORG-Metrics'!$A$1:$A$38,0),MATCH(B$1,'ORG-Metrics'!$1:$1,0)),"")</f>
        <v>0.19828239259021022</v>
      </c>
      <c r="C5" s="39">
        <f>IFERROR(INDEX('ORG-Metrics'!$A$1:$U$38,MATCH($A5,'ORG-Metrics'!$A$1:$A$38,0),MATCH(C$1,'ORG-Metrics'!$1:$1,0)),"")</f>
        <v>1067.8681746651475</v>
      </c>
      <c r="D5" s="39">
        <f>IFERROR(INDEX('ORG-Metrics'!$A$1:$U$38,MATCH($A5,'ORG-Metrics'!$A$1:$A$38,0),MATCH(D$1,'ORG-Metrics'!$1:$1,0)),"")</f>
        <v>7412.9333915440448</v>
      </c>
      <c r="E5" s="39">
        <f>IFERROR(INDEX('ORG-Metrics'!$A$1:$U$38,MATCH($A5,'ORG-Metrics'!$A$1:$A$38,0),MATCH(E$1,'ORG-Metrics'!$1:$1,0)),"")</f>
        <v>8.4402452939959224E-2</v>
      </c>
      <c r="F5" s="39">
        <f>IFERROR(INDEX('ORG-Metrics'!$A$1:$U$38,MATCH($A5,'ORG-Metrics'!$A$1:$A$38,0),MATCH(F$1,'ORG-Metrics'!$1:$1,0)),"")</f>
        <v>2.7894336460774317E-2</v>
      </c>
      <c r="G5" s="39">
        <f>IFERROR(INDEX('ORG-Metrics'!$A$1:$U$38,MATCH($A5,'ORG-Metrics'!$A$1:$A$38,0),MATCH(G$1,'ORG-Metrics'!$1:$1,0)),"")</f>
        <v>9.7399304982965354E-2</v>
      </c>
      <c r="H5" s="39">
        <f>IFERROR(INDEX('ORG-Metrics'!$A$1:$U$38,MATCH($A5,'ORG-Metrics'!$A$1:$A$38,0),MATCH(H$1,'ORG-Metrics'!$1:$1,0)),"")</f>
        <v>0.15002767321400282</v>
      </c>
      <c r="I5" s="39">
        <f>IFERROR(INDEX('ORG-Metrics'!$A$1:$U$38,MATCH($A5,'ORG-Metrics'!$A$1:$A$38,0),MATCH(I$1,'ORG-Metrics'!$1:$1,0)),"")</f>
        <v>1.8086168906657266E-2</v>
      </c>
      <c r="J5" s="39">
        <f>IFERROR(INDEX('ORG-Metrics'!$A$1:$U$38,MATCH($A5,'ORG-Metrics'!$A$1:$A$38,0),MATCH(J$1,'ORG-Metrics'!$1:$1,0)),"")</f>
        <v>0.19993664458155244</v>
      </c>
      <c r="K5" s="39">
        <f>IFERROR(INDEX('ORG-Metrics'!$A$1:$U$38,MATCH($A5,'ORG-Metrics'!$A$1:$A$38,0),MATCH(K$1,'ORG-Metrics'!$1:$1,0)),"")</f>
        <v>84271.327462561778</v>
      </c>
      <c r="L5" s="39">
        <f>IFERROR(INDEX('ORG-Metrics'!$A$1:$U$38,MATCH($A5,'ORG-Metrics'!$A$1:$A$38,0),MATCH(L$1,'ORG-Metrics'!$1:$1,0)),"")</f>
        <v>23353.495008264992</v>
      </c>
      <c r="M5" s="39">
        <f>IFERROR(INDEX('ORG-Metrics'!$A$1:$U$38,MATCH($A5,'ORG-Metrics'!$A$1:$A$38,0),MATCH(M$1,'ORG-Metrics'!$1:$1,0)),"")</f>
        <v>49993.383161273174</v>
      </c>
      <c r="N5" s="39">
        <f>IFERROR(INDEX('ORG-Metrics'!$A$1:$U$38,MATCH($A5,'ORG-Metrics'!$A$1:$A$38,0),MATCH(N$1,'ORG-Metrics'!$1:$1,0)),"")</f>
        <v>8806.7850618557932</v>
      </c>
      <c r="O5" s="39">
        <f>IFERROR(INDEX('ORG-Metrics'!$A$1:$U$38,MATCH($A5,'ORG-Metrics'!$A$1:$A$38,0),MATCH(O$1,'ORG-Metrics'!$1:$1,0)),"")</f>
        <v>1740.5060348888364</v>
      </c>
      <c r="P5" s="39">
        <f>IFERROR(INDEX('ORG-Metrics'!$A$1:$U$38,MATCH($A5,'ORG-Metrics'!$A$1:$A$38,0),MATCH(P$1,'ORG-Metrics'!$1:$1,0)),"")</f>
        <v>919.55907205799144</v>
      </c>
      <c r="Q5" s="39">
        <f>IFERROR(INDEX('ORG-Metrics'!$A$1:$U$38,MATCH($A5,'ORG-Metrics'!$A$1:$A$38,0),MATCH(Q$1,'ORG-Metrics'!$1:$1,0)),"")</f>
        <v>166.76248300578357</v>
      </c>
      <c r="R5" s="39">
        <f>IFERROR(INDEX('ORG-Metrics'!$A$1:$U$38,MATCH($A5,'ORG-Metrics'!$A$1:$A$38,0),MATCH(R$1,'ORG-Metrics'!$1:$1,0)),"")</f>
        <v>105.53235541779544</v>
      </c>
      <c r="S5" s="39">
        <f>IFERROR(INDEX('ORG-Metrics'!$A$1:$U$38,MATCH($A5,'ORG-Metrics'!$A$1:$A$38,0),MATCH(S$1,'ORG-Metrics'!$1:$1,0)),"")</f>
        <v>0.79309305752638803</v>
      </c>
      <c r="T5" s="39">
        <f>IFERROR(INDEX('ORG-Metrics'!$A$1:$U$38,MATCH($A5,'ORG-Metrics'!$A$1:$A$38,0),MATCH(T$1,'ORG-Metrics'!$1:$1,0)),"")</f>
        <v>88.598054284923933</v>
      </c>
      <c r="U5" s="39">
        <f>IFERROR(INDEX('ORG-Metrics'!$A$1:$U$38,MATCH($A5,'ORG-Metrics'!$A$1:$A$38,0),MATCH(U$1,'ORG-Metrics'!$1:$1,0)),"")</f>
        <v>58.846989494817784</v>
      </c>
      <c r="W5" s="27">
        <f t="shared" si="0"/>
        <v>136005.21665872377</v>
      </c>
      <c r="X5" s="60" t="str">
        <f t="shared" si="1"/>
        <v>Medium</v>
      </c>
      <c r="Z5" s="30" t="str">
        <f t="shared" si="2"/>
        <v>Large</v>
      </c>
    </row>
    <row r="6" spans="1:26" x14ac:dyDescent="0.3">
      <c r="A6" s="30" t="str">
        <v>T</v>
      </c>
      <c r="B6" s="39">
        <f>IFERROR(INDEX('ORG-Metrics'!$A$1:$U$38,MATCH($A6,'ORG-Metrics'!$A$1:$A$38,0),MATCH(B$1,'ORG-Metrics'!$1:$1,0)),"")</f>
        <v>0.19146211096505816</v>
      </c>
      <c r="C6" s="39">
        <f>IFERROR(INDEX('ORG-Metrics'!$A$1:$U$38,MATCH($A6,'ORG-Metrics'!$A$1:$A$38,0),MATCH(C$1,'ORG-Metrics'!$1:$1,0)),"")</f>
        <v>1026.8000847345529</v>
      </c>
      <c r="D6" s="39">
        <f>IFERROR(INDEX('ORG-Metrics'!$A$1:$U$38,MATCH($A6,'ORG-Metrics'!$A$1:$A$38,0),MATCH(D$1,'ORG-Metrics'!$1:$1,0)),"")</f>
        <v>8101.4412057332684</v>
      </c>
      <c r="E6" s="39">
        <f>IFERROR(INDEX('ORG-Metrics'!$A$1:$U$38,MATCH($A6,'ORG-Metrics'!$A$1:$A$38,0),MATCH(E$1,'ORG-Metrics'!$1:$1,0)),"")</f>
        <v>7.0839547089603133E-2</v>
      </c>
      <c r="F6" s="39">
        <f>IFERROR(INDEX('ORG-Metrics'!$A$1:$U$38,MATCH($A6,'ORG-Metrics'!$A$1:$A$38,0),MATCH(F$1,'ORG-Metrics'!$1:$1,0)),"")</f>
        <v>1.3213223078580338E-2</v>
      </c>
      <c r="G6" s="39">
        <f>IFERROR(INDEX('ORG-Metrics'!$A$1:$U$38,MATCH($A6,'ORG-Metrics'!$A$1:$A$38,0),MATCH(G$1,'ORG-Metrics'!$1:$1,0)),"")</f>
        <v>9.6960272212582577E-2</v>
      </c>
      <c r="H6" s="39">
        <f>IFERROR(INDEX('ORG-Metrics'!$A$1:$U$38,MATCH($A6,'ORG-Metrics'!$A$1:$A$38,0),MATCH(H$1,'ORG-Metrics'!$1:$1,0)),"")</f>
        <v>0.14762608469324243</v>
      </c>
      <c r="I6" s="39">
        <f>IFERROR(INDEX('ORG-Metrics'!$A$1:$U$38,MATCH($A6,'ORG-Metrics'!$A$1:$A$38,0),MATCH(I$1,'ORG-Metrics'!$1:$1,0)),"")</f>
        <v>1.5356783393655869E-2</v>
      </c>
      <c r="J6" s="39">
        <f>IFERROR(INDEX('ORG-Metrics'!$A$1:$U$38,MATCH($A6,'ORG-Metrics'!$A$1:$A$38,0),MATCH(J$1,'ORG-Metrics'!$1:$1,0)),"")</f>
        <v>0.32146497601859886</v>
      </c>
      <c r="K6" s="39">
        <f>IFERROR(INDEX('ORG-Metrics'!$A$1:$U$38,MATCH($A6,'ORG-Metrics'!$A$1:$A$38,0),MATCH(K$1,'ORG-Metrics'!$1:$1,0)),"")</f>
        <v>128177.71867014685</v>
      </c>
      <c r="L6" s="39">
        <f>IFERROR(INDEX('ORG-Metrics'!$A$1:$U$38,MATCH($A6,'ORG-Metrics'!$A$1:$A$38,0),MATCH(L$1,'ORG-Metrics'!$1:$1,0)),"")</f>
        <v>33069.207376345366</v>
      </c>
      <c r="M6" s="39">
        <f>IFERROR(INDEX('ORG-Metrics'!$A$1:$U$38,MATCH($A6,'ORG-Metrics'!$A$1:$A$38,0),MATCH(M$1,'ORG-Metrics'!$1:$1,0)),"")</f>
        <v>56169.407767395685</v>
      </c>
      <c r="N6" s="39">
        <f>IFERROR(INDEX('ORG-Metrics'!$A$1:$U$38,MATCH($A6,'ORG-Metrics'!$A$1:$A$38,0),MATCH(N$1,'ORG-Metrics'!$1:$1,0)),"")</f>
        <v>6911.1165249423875</v>
      </c>
      <c r="O6" s="39">
        <f>IFERROR(INDEX('ORG-Metrics'!$A$1:$U$38,MATCH($A6,'ORG-Metrics'!$A$1:$A$38,0),MATCH(O$1,'ORG-Metrics'!$1:$1,0)),"")</f>
        <v>19126.333308510424</v>
      </c>
      <c r="P6" s="39">
        <f>IFERROR(INDEX('ORG-Metrics'!$A$1:$U$38,MATCH($A6,'ORG-Metrics'!$A$1:$A$38,0),MATCH(P$1,'ORG-Metrics'!$1:$1,0)),"")</f>
        <v>1467.8287851768835</v>
      </c>
      <c r="Q6" s="39">
        <f>IFERROR(INDEX('ORG-Metrics'!$A$1:$U$38,MATCH($A6,'ORG-Metrics'!$A$1:$A$38,0),MATCH(Q$1,'ORG-Metrics'!$1:$1,0)),"")</f>
        <v>218.43261380029105</v>
      </c>
      <c r="R6" s="39">
        <f>IFERROR(INDEX('ORG-Metrics'!$A$1:$U$38,MATCH($A6,'ORG-Metrics'!$A$1:$A$38,0),MATCH(R$1,'ORG-Metrics'!$1:$1,0)),"")</f>
        <v>144.15006643223444</v>
      </c>
      <c r="S6" s="39">
        <f>IFERROR(INDEX('ORG-Metrics'!$A$1:$U$38,MATCH($A6,'ORG-Metrics'!$A$1:$A$38,0),MATCH(S$1,'ORG-Metrics'!$1:$1,0)),"")</f>
        <v>0.69368379641711164</v>
      </c>
      <c r="T6" s="39">
        <f>IFERROR(INDEX('ORG-Metrics'!$A$1:$U$38,MATCH($A6,'ORG-Metrics'!$A$1:$A$38,0),MATCH(T$1,'ORG-Metrics'!$1:$1,0)),"")</f>
        <v>17.434622600028373</v>
      </c>
      <c r="U6" s="39">
        <f>IFERROR(INDEX('ORG-Metrics'!$A$1:$U$38,MATCH($A6,'ORG-Metrics'!$A$1:$A$38,0),MATCH(U$1,'ORG-Metrics'!$1:$1,0)),"")</f>
        <v>10.599025456092354</v>
      </c>
      <c r="W6" s="27">
        <f t="shared" si="0"/>
        <v>203473.45974605295</v>
      </c>
      <c r="X6" s="60" t="str">
        <f t="shared" si="1"/>
        <v>Large</v>
      </c>
      <c r="Z6" s="30" t="str">
        <f t="shared" si="2"/>
        <v>Large</v>
      </c>
    </row>
    <row r="7" spans="1:26" x14ac:dyDescent="0.3">
      <c r="A7" s="30" t="str">
        <v>V</v>
      </c>
      <c r="B7" s="39">
        <f>IFERROR(INDEX('ORG-Metrics'!$A$1:$U$38,MATCH($A7,'ORG-Metrics'!$A$1:$A$38,0),MATCH(B$1,'ORG-Metrics'!$1:$1,0)),"")</f>
        <v>0.20198356759669092</v>
      </c>
      <c r="C7" s="39">
        <f>IFERROR(INDEX('ORG-Metrics'!$A$1:$U$38,MATCH($A7,'ORG-Metrics'!$A$1:$A$38,0),MATCH(C$1,'ORG-Metrics'!$1:$1,0)),"")</f>
        <v>1083.3944698314751</v>
      </c>
      <c r="D7" s="39">
        <f>IFERROR(INDEX('ORG-Metrics'!$A$1:$U$38,MATCH($A7,'ORG-Metrics'!$A$1:$A$38,0),MATCH(D$1,'ORG-Metrics'!$1:$1,0)),"")</f>
        <v>10076.963024612111</v>
      </c>
      <c r="E7" s="39">
        <f>IFERROR(INDEX('ORG-Metrics'!$A$1:$U$38,MATCH($A7,'ORG-Metrics'!$A$1:$A$38,0),MATCH(E$1,'ORG-Metrics'!$1:$1,0)),"")</f>
        <v>9.1015735762656355E-2</v>
      </c>
      <c r="F7" s="39">
        <f>IFERROR(INDEX('ORG-Metrics'!$A$1:$U$38,MATCH($A7,'ORG-Metrics'!$A$1:$A$38,0),MATCH(F$1,'ORG-Metrics'!$1:$1,0)),"")</f>
        <v>1.0286458925041804E-2</v>
      </c>
      <c r="G7" s="39">
        <f>IFERROR(INDEX('ORG-Metrics'!$A$1:$U$38,MATCH($A7,'ORG-Metrics'!$A$1:$A$38,0),MATCH(G$1,'ORG-Metrics'!$1:$1,0)),"")</f>
        <v>4.3664593135986633E-2</v>
      </c>
      <c r="H7" s="39">
        <f>IFERROR(INDEX('ORG-Metrics'!$A$1:$U$38,MATCH($A7,'ORG-Metrics'!$A$1:$A$38,0),MATCH(H$1,'ORG-Metrics'!$1:$1,0)),"")</f>
        <v>0.11258894523844037</v>
      </c>
      <c r="I7" s="39">
        <f>IFERROR(INDEX('ORG-Metrics'!$A$1:$U$38,MATCH($A7,'ORG-Metrics'!$A$1:$A$38,0),MATCH(I$1,'ORG-Metrics'!$1:$1,0)),"")</f>
        <v>1.4783785134278658E-2</v>
      </c>
      <c r="J7" s="39">
        <f>IFERROR(INDEX('ORG-Metrics'!$A$1:$U$38,MATCH($A7,'ORG-Metrics'!$A$1:$A$38,0),MATCH(J$1,'ORG-Metrics'!$1:$1,0)),"")</f>
        <v>0</v>
      </c>
      <c r="K7" s="39">
        <f>IFERROR(INDEX('ORG-Metrics'!$A$1:$U$38,MATCH($A7,'ORG-Metrics'!$A$1:$A$38,0),MATCH(K$1,'ORG-Metrics'!$1:$1,0)),"")</f>
        <v>155263.31248319233</v>
      </c>
      <c r="L7" s="39">
        <f>IFERROR(INDEX('ORG-Metrics'!$A$1:$U$38,MATCH($A7,'ORG-Metrics'!$A$1:$A$38,0),MATCH(L$1,'ORG-Metrics'!$1:$1,0)),"")</f>
        <v>37998.459430133713</v>
      </c>
      <c r="M7" s="39">
        <f>IFERROR(INDEX('ORG-Metrics'!$A$1:$U$38,MATCH($A7,'ORG-Metrics'!$A$1:$A$38,0),MATCH(M$1,'ORG-Metrics'!$1:$1,0)),"")</f>
        <v>63476.053609370334</v>
      </c>
      <c r="N7" s="39">
        <f>IFERROR(INDEX('ORG-Metrics'!$A$1:$U$38,MATCH($A7,'ORG-Metrics'!$A$1:$A$38,0),MATCH(N$1,'ORG-Metrics'!$1:$1,0)),"")</f>
        <v>3777.4223476481311</v>
      </c>
      <c r="O7" s="39">
        <f>IFERROR(INDEX('ORG-Metrics'!$A$1:$U$38,MATCH($A7,'ORG-Metrics'!$A$1:$A$38,0),MATCH(O$1,'ORG-Metrics'!$1:$1,0)),"")</f>
        <v>22540.419761141427</v>
      </c>
      <c r="P7" s="39">
        <f>IFERROR(INDEX('ORG-Metrics'!$A$1:$U$38,MATCH($A7,'ORG-Metrics'!$A$1:$A$38,0),MATCH(P$1,'ORG-Metrics'!$1:$1,0)),"")</f>
        <v>1190.1978835399718</v>
      </c>
      <c r="Q7" s="39">
        <f>IFERROR(INDEX('ORG-Metrics'!$A$1:$U$38,MATCH($A7,'ORG-Metrics'!$A$1:$A$38,0),MATCH(Q$1,'ORG-Metrics'!$1:$1,0)),"")</f>
        <v>721.5514280368111</v>
      </c>
      <c r="R7" s="39">
        <f>IFERROR(INDEX('ORG-Metrics'!$A$1:$U$38,MATCH($A7,'ORG-Metrics'!$A$1:$A$38,0),MATCH(R$1,'ORG-Metrics'!$1:$1,0)),"")</f>
        <v>342.48010378739815</v>
      </c>
      <c r="S7" s="39">
        <f>IFERROR(INDEX('ORG-Metrics'!$A$1:$U$38,MATCH($A7,'ORG-Metrics'!$A$1:$A$38,0),MATCH(S$1,'ORG-Metrics'!$1:$1,0)),"")</f>
        <v>0.73610178081109168</v>
      </c>
      <c r="T7" s="39">
        <f>IFERROR(INDEX('ORG-Metrics'!$A$1:$U$38,MATCH($A7,'ORG-Metrics'!$A$1:$A$38,0),MATCH(T$1,'ORG-Metrics'!$1:$1,0)),"")</f>
        <v>116.76045835689946</v>
      </c>
      <c r="U7" s="39">
        <f>IFERROR(INDEX('ORG-Metrics'!$A$1:$U$38,MATCH($A7,'ORG-Metrics'!$A$1:$A$38,0),MATCH(U$1,'ORG-Metrics'!$1:$1,0)),"")</f>
        <v>68.993852133285159</v>
      </c>
      <c r="W7" s="27">
        <f t="shared" si="0"/>
        <v>241279.78585370409</v>
      </c>
      <c r="X7" s="60" t="str">
        <f t="shared" si="1"/>
        <v>Large</v>
      </c>
      <c r="Z7" s="30" t="str">
        <f t="shared" si="2"/>
        <v>Large</v>
      </c>
    </row>
    <row r="8" spans="1:26" x14ac:dyDescent="0.3">
      <c r="A8" s="30" t="str">
        <v>X</v>
      </c>
      <c r="B8" s="39">
        <f>IFERROR(INDEX('ORG-Metrics'!$A$1:$U$38,MATCH($A8,'ORG-Metrics'!$A$1:$A$38,0),MATCH(B$1,'ORG-Metrics'!$1:$1,0)),"")</f>
        <v>0.19560339953692105</v>
      </c>
      <c r="C8" s="39">
        <f>IFERROR(INDEX('ORG-Metrics'!$A$1:$U$38,MATCH($A8,'ORG-Metrics'!$A$1:$A$38,0),MATCH(C$1,'ORG-Metrics'!$1:$1,0)),"")</f>
        <v>1046.6706992138597</v>
      </c>
      <c r="D8" s="39">
        <f>IFERROR(INDEX('ORG-Metrics'!$A$1:$U$38,MATCH($A8,'ORG-Metrics'!$A$1:$A$38,0),MATCH(D$1,'ORG-Metrics'!$1:$1,0)),"")</f>
        <v>7018.6453746480965</v>
      </c>
      <c r="E8" s="39">
        <f>IFERROR(INDEX('ORG-Metrics'!$A$1:$U$38,MATCH($A8,'ORG-Metrics'!$A$1:$A$38,0),MATCH(E$1,'ORG-Metrics'!$1:$1,0)),"")</f>
        <v>7.9938868393827051E-2</v>
      </c>
      <c r="F8" s="39">
        <f>IFERROR(INDEX('ORG-Metrics'!$A$1:$U$38,MATCH($A8,'ORG-Metrics'!$A$1:$A$38,0),MATCH(F$1,'ORG-Metrics'!$1:$1,0)),"")</f>
        <v>2.3797686230161624E-2</v>
      </c>
      <c r="G8" s="39">
        <f>IFERROR(INDEX('ORG-Metrics'!$A$1:$U$38,MATCH($A8,'ORG-Metrics'!$A$1:$A$38,0),MATCH(G$1,'ORG-Metrics'!$1:$1,0)),"")</f>
        <v>0.12087383505219532</v>
      </c>
      <c r="H8" s="39">
        <f>IFERROR(INDEX('ORG-Metrics'!$A$1:$U$38,MATCH($A8,'ORG-Metrics'!$A$1:$A$38,0),MATCH(H$1,'ORG-Metrics'!$1:$1,0)),"")</f>
        <v>0.22878779425237997</v>
      </c>
      <c r="I8" s="39">
        <f>IFERROR(INDEX('ORG-Metrics'!$A$1:$U$38,MATCH($A8,'ORG-Metrics'!$A$1:$A$38,0),MATCH(I$1,'ORG-Metrics'!$1:$1,0)),"")</f>
        <v>1.4218245389926151E-2</v>
      </c>
      <c r="J8" s="39">
        <f>IFERROR(INDEX('ORG-Metrics'!$A$1:$U$38,MATCH($A8,'ORG-Metrics'!$A$1:$A$38,0),MATCH(J$1,'ORG-Metrics'!$1:$1,0)),"")</f>
        <v>0.25139369018234708</v>
      </c>
      <c r="K8" s="39">
        <f>IFERROR(INDEX('ORG-Metrics'!$A$1:$U$38,MATCH($A8,'ORG-Metrics'!$A$1:$A$38,0),MATCH(K$1,'ORG-Metrics'!$1:$1,0)),"")</f>
        <v>98927.00681310278</v>
      </c>
      <c r="L8" s="39">
        <f>IFERROR(INDEX('ORG-Metrics'!$A$1:$U$38,MATCH($A8,'ORG-Metrics'!$A$1:$A$38,0),MATCH(L$1,'ORG-Metrics'!$1:$1,0)),"")</f>
        <v>17267.567306363107</v>
      </c>
      <c r="M8" s="39">
        <f>IFERROR(INDEX('ORG-Metrics'!$A$1:$U$38,MATCH($A8,'ORG-Metrics'!$A$1:$A$38,0),MATCH(M$1,'ORG-Metrics'!$1:$1,0)),"")</f>
        <v>49749.572214732187</v>
      </c>
      <c r="N8" s="39">
        <f>IFERROR(INDEX('ORG-Metrics'!$A$1:$U$38,MATCH($A8,'ORG-Metrics'!$A$1:$A$38,0),MATCH(N$1,'ORG-Metrics'!$1:$1,0)),"")</f>
        <v>6327.4143874367473</v>
      </c>
      <c r="O8" s="39">
        <f>IFERROR(INDEX('ORG-Metrics'!$A$1:$U$38,MATCH($A8,'ORG-Metrics'!$A$1:$A$38,0),MATCH(O$1,'ORG-Metrics'!$1:$1,0)),"")</f>
        <v>420.50940749900008</v>
      </c>
      <c r="P8" s="39">
        <f>IFERROR(INDEX('ORG-Metrics'!$A$1:$U$38,MATCH($A8,'ORG-Metrics'!$A$1:$A$38,0),MATCH(P$1,'ORG-Metrics'!$1:$1,0)),"")</f>
        <v>152.39958426723078</v>
      </c>
      <c r="Q8" s="39">
        <f>IFERROR(INDEX('ORG-Metrics'!$A$1:$U$38,MATCH($A8,'ORG-Metrics'!$A$1:$A$38,0),MATCH(Q$1,'ORG-Metrics'!$1:$1,0)),"")</f>
        <v>247.65485566344645</v>
      </c>
      <c r="R8" s="39">
        <f>IFERROR(INDEX('ORG-Metrics'!$A$1:$U$38,MATCH($A8,'ORG-Metrics'!$A$1:$A$38,0),MATCH(R$1,'ORG-Metrics'!$1:$1,0)),"")</f>
        <v>151.81266242618725</v>
      </c>
      <c r="S8" s="39">
        <f>IFERROR(INDEX('ORG-Metrics'!$A$1:$U$38,MATCH($A8,'ORG-Metrics'!$A$1:$A$38,0),MATCH(S$1,'ORG-Metrics'!$1:$1,0)),"")</f>
        <v>2.2404192328862016</v>
      </c>
      <c r="T8" s="39">
        <f>IFERROR(INDEX('ORG-Metrics'!$A$1:$U$38,MATCH($A8,'ORG-Metrics'!$A$1:$A$38,0),MATCH(T$1,'ORG-Metrics'!$1:$1,0)),"")</f>
        <v>264.23321705181621</v>
      </c>
      <c r="U8" s="39">
        <f>IFERROR(INDEX('ORG-Metrics'!$A$1:$U$38,MATCH($A8,'ORG-Metrics'!$A$1:$A$38,0),MATCH(U$1,'ORG-Metrics'!$1:$1,0)),"")</f>
        <v>139.60618100760445</v>
      </c>
      <c r="W8" s="27">
        <f t="shared" si="0"/>
        <v>149097.08843533395</v>
      </c>
      <c r="X8" s="60" t="str">
        <f t="shared" si="1"/>
        <v>Medium</v>
      </c>
      <c r="Z8" s="30" t="str">
        <f t="shared" si="2"/>
        <v>Large</v>
      </c>
    </row>
    <row r="9" spans="1:26" x14ac:dyDescent="0.3">
      <c r="A9" s="30" t="str">
        <v>AC</v>
      </c>
      <c r="B9" s="39">
        <f>IFERROR(INDEX('ORG-Metrics'!$A$1:$U$38,MATCH($A9,'ORG-Metrics'!$A$1:$A$38,0),MATCH(B$1,'ORG-Metrics'!$1:$1,0)),"")</f>
        <v>0.19784295602882956</v>
      </c>
      <c r="C9" s="39">
        <f>IFERROR(INDEX('ORG-Metrics'!$A$1:$U$38,MATCH($A9,'ORG-Metrics'!$A$1:$A$38,0),MATCH(C$1,'ORG-Metrics'!$1:$1,0)),"")</f>
        <v>1070.974211155285</v>
      </c>
      <c r="D9" s="39">
        <f>IFERROR(INDEX('ORG-Metrics'!$A$1:$U$38,MATCH($A9,'ORG-Metrics'!$A$1:$A$38,0),MATCH(D$1,'ORG-Metrics'!$1:$1,0)),"")</f>
        <v>4869.0738221310939</v>
      </c>
      <c r="E9" s="39">
        <f>IFERROR(INDEX('ORG-Metrics'!$A$1:$U$38,MATCH($A9,'ORG-Metrics'!$A$1:$A$38,0),MATCH(E$1,'ORG-Metrics'!$1:$1,0)),"")</f>
        <v>7.1872277852404631E-2</v>
      </c>
      <c r="F9" s="39">
        <f>IFERROR(INDEX('ORG-Metrics'!$A$1:$U$38,MATCH($A9,'ORG-Metrics'!$A$1:$A$38,0),MATCH(F$1,'ORG-Metrics'!$1:$1,0)),"")</f>
        <v>6.358539873843291E-3</v>
      </c>
      <c r="G9" s="39">
        <f>IFERROR(INDEX('ORG-Metrics'!$A$1:$U$38,MATCH($A9,'ORG-Metrics'!$A$1:$A$38,0),MATCH(G$1,'ORG-Metrics'!$1:$1,0)),"")</f>
        <v>0.13573562379641321</v>
      </c>
      <c r="H9" s="39">
        <f>IFERROR(INDEX('ORG-Metrics'!$A$1:$U$38,MATCH($A9,'ORG-Metrics'!$A$1:$A$38,0),MATCH(H$1,'ORG-Metrics'!$1:$1,0)),"")</f>
        <v>0.17251953251780722</v>
      </c>
      <c r="I9" s="39">
        <f>IFERROR(INDEX('ORG-Metrics'!$A$1:$U$38,MATCH($A9,'ORG-Metrics'!$A$1:$A$38,0),MATCH(I$1,'ORG-Metrics'!$1:$1,0)),"")</f>
        <v>1.3245754797252767E-2</v>
      </c>
      <c r="J9" s="39">
        <f>IFERROR(INDEX('ORG-Metrics'!$A$1:$U$38,MATCH($A9,'ORG-Metrics'!$A$1:$A$38,0),MATCH(J$1,'ORG-Metrics'!$1:$1,0)),"")</f>
        <v>0.24812900266487894</v>
      </c>
      <c r="K9" s="39">
        <f>IFERROR(INDEX('ORG-Metrics'!$A$1:$U$38,MATCH($A9,'ORG-Metrics'!$A$1:$A$38,0),MATCH(K$1,'ORG-Metrics'!$1:$1,0)),"")</f>
        <v>63430.508718716424</v>
      </c>
      <c r="L9" s="39">
        <f>IFERROR(INDEX('ORG-Metrics'!$A$1:$U$38,MATCH($A9,'ORG-Metrics'!$A$1:$A$38,0),MATCH(L$1,'ORG-Metrics'!$1:$1,0)),"")</f>
        <v>4688.3004745979033</v>
      </c>
      <c r="M9" s="39">
        <f>IFERROR(INDEX('ORG-Metrics'!$A$1:$U$38,MATCH($A9,'ORG-Metrics'!$A$1:$A$38,0),MATCH(M$1,'ORG-Metrics'!$1:$1,0)),"")</f>
        <v>26036.857492125939</v>
      </c>
      <c r="N9" s="39">
        <f>IFERROR(INDEX('ORG-Metrics'!$A$1:$U$38,MATCH($A9,'ORG-Metrics'!$A$1:$A$38,0),MATCH(N$1,'ORG-Metrics'!$1:$1,0)),"")</f>
        <v>1094.638234240922</v>
      </c>
      <c r="O9" s="39">
        <f>IFERROR(INDEX('ORG-Metrics'!$A$1:$U$38,MATCH($A9,'ORG-Metrics'!$A$1:$A$38,0),MATCH(O$1,'ORG-Metrics'!$1:$1,0)),"")</f>
        <v>509.19782848409022</v>
      </c>
      <c r="P9" s="39">
        <f>IFERROR(INDEX('ORG-Metrics'!$A$1:$U$38,MATCH($A9,'ORG-Metrics'!$A$1:$A$38,0),MATCH(P$1,'ORG-Metrics'!$1:$1,0)),"")</f>
        <v>18.769782980439999</v>
      </c>
      <c r="Q9" s="39">
        <f>IFERROR(INDEX('ORG-Metrics'!$A$1:$U$38,MATCH($A9,'ORG-Metrics'!$A$1:$A$38,0),MATCH(Q$1,'ORG-Metrics'!$1:$1,0)),"")</f>
        <v>143.19871505164446</v>
      </c>
      <c r="R9" s="39">
        <f>IFERROR(INDEX('ORG-Metrics'!$A$1:$U$38,MATCH($A9,'ORG-Metrics'!$A$1:$A$38,0),MATCH(R$1,'ORG-Metrics'!$1:$1,0)),"")</f>
        <v>88.168481737426958</v>
      </c>
      <c r="S9" s="39">
        <f>IFERROR(INDEX('ORG-Metrics'!$A$1:$U$38,MATCH($A9,'ORG-Metrics'!$A$1:$A$38,0),MATCH(S$1,'ORG-Metrics'!$1:$1,0)),"")</f>
        <v>1.7401065136667968</v>
      </c>
      <c r="T9" s="39">
        <f>IFERROR(INDEX('ORG-Metrics'!$A$1:$U$38,MATCH($A9,'ORG-Metrics'!$A$1:$A$38,0),MATCH(T$1,'ORG-Metrics'!$1:$1,0)),"")</f>
        <v>160.16354816664332</v>
      </c>
      <c r="U9" s="39">
        <f>IFERROR(INDEX('ORG-Metrics'!$A$1:$U$38,MATCH($A9,'ORG-Metrics'!$A$1:$A$38,0),MATCH(U$1,'ORG-Metrics'!$1:$1,0)),"")</f>
        <v>93.249908001904032</v>
      </c>
      <c r="W9" s="27">
        <f t="shared" si="0"/>
        <v>89976.564039326448</v>
      </c>
      <c r="X9" s="60" t="str">
        <f t="shared" si="1"/>
        <v>Medium</v>
      </c>
      <c r="Z9" s="30" t="str">
        <f t="shared" si="2"/>
        <v>Medium</v>
      </c>
    </row>
    <row r="10" spans="1:26" x14ac:dyDescent="0.3">
      <c r="A10" s="30" t="str">
        <v>AE</v>
      </c>
      <c r="B10" s="39">
        <f>IFERROR(INDEX('ORG-Metrics'!$A$1:$U$38,MATCH($A10,'ORG-Metrics'!$A$1:$A$38,0),MATCH(B$1,'ORG-Metrics'!$1:$1,0)),"")</f>
        <v>0.19247303445275726</v>
      </c>
      <c r="C10" s="39">
        <f>IFERROR(INDEX('ORG-Metrics'!$A$1:$U$38,MATCH($A10,'ORG-Metrics'!$A$1:$A$38,0),MATCH(C$1,'ORG-Metrics'!$1:$1,0)),"")</f>
        <v>1070.2434064107395</v>
      </c>
      <c r="D10" s="39">
        <f>IFERROR(INDEX('ORG-Metrics'!$A$1:$U$38,MATCH($A10,'ORG-Metrics'!$A$1:$A$38,0),MATCH(D$1,'ORG-Metrics'!$1:$1,0)),"")</f>
        <v>6329.9304960188347</v>
      </c>
      <c r="E10" s="39">
        <f>IFERROR(INDEX('ORG-Metrics'!$A$1:$U$38,MATCH($A10,'ORG-Metrics'!$A$1:$A$38,0),MATCH(E$1,'ORG-Metrics'!$1:$1,0)),"")</f>
        <v>7.100194796570182E-2</v>
      </c>
      <c r="F10" s="39">
        <f>IFERROR(INDEX('ORG-Metrics'!$A$1:$U$38,MATCH($A10,'ORG-Metrics'!$A$1:$A$38,0),MATCH(F$1,'ORG-Metrics'!$1:$1,0)),"")</f>
        <v>2.5647932219682219E-2</v>
      </c>
      <c r="G10" s="39">
        <f>IFERROR(INDEX('ORG-Metrics'!$A$1:$U$38,MATCH($A10,'ORG-Metrics'!$A$1:$A$38,0),MATCH(G$1,'ORG-Metrics'!$1:$1,0)),"")</f>
        <v>5.7264483700479776E-2</v>
      </c>
      <c r="H10" s="39">
        <f>IFERROR(INDEX('ORG-Metrics'!$A$1:$U$38,MATCH($A10,'ORG-Metrics'!$A$1:$A$38,0),MATCH(H$1,'ORG-Metrics'!$1:$1,0)),"")</f>
        <v>0.13133834281062573</v>
      </c>
      <c r="I10" s="39">
        <f>IFERROR(INDEX('ORG-Metrics'!$A$1:$U$38,MATCH($A10,'ORG-Metrics'!$A$1:$A$38,0),MATCH(I$1,'ORG-Metrics'!$1:$1,0)),"")</f>
        <v>8.5711772825557801E-3</v>
      </c>
      <c r="J10" s="39">
        <f>IFERROR(INDEX('ORG-Metrics'!$A$1:$U$38,MATCH($A10,'ORG-Metrics'!$A$1:$A$38,0),MATCH(J$1,'ORG-Metrics'!$1:$1,0)),"")</f>
        <v>0.27877395529025112</v>
      </c>
      <c r="K10" s="39">
        <f>IFERROR(INDEX('ORG-Metrics'!$A$1:$U$38,MATCH($A10,'ORG-Metrics'!$A$1:$A$38,0),MATCH(K$1,'ORG-Metrics'!$1:$1,0)),"")</f>
        <v>51487.582885021322</v>
      </c>
      <c r="L10" s="39">
        <f>IFERROR(INDEX('ORG-Metrics'!$A$1:$U$38,MATCH($A10,'ORG-Metrics'!$A$1:$A$38,0),MATCH(L$1,'ORG-Metrics'!$1:$1,0)),"")</f>
        <v>6600.4778533860035</v>
      </c>
      <c r="M10" s="39">
        <f>IFERROR(INDEX('ORG-Metrics'!$A$1:$U$38,MATCH($A10,'ORG-Metrics'!$A$1:$A$38,0),MATCH(M$1,'ORG-Metrics'!$1:$1,0)),"")</f>
        <v>41839.70154360195</v>
      </c>
      <c r="N10" s="39">
        <f>IFERROR(INDEX('ORG-Metrics'!$A$1:$U$38,MATCH($A10,'ORG-Metrics'!$A$1:$A$38,0),MATCH(N$1,'ORG-Metrics'!$1:$1,0)),"")</f>
        <v>2486.0955642011809</v>
      </c>
      <c r="O10" s="39">
        <f>IFERROR(INDEX('ORG-Metrics'!$A$1:$U$38,MATCH($A10,'ORG-Metrics'!$A$1:$A$38,0),MATCH(O$1,'ORG-Metrics'!$1:$1,0)),"")</f>
        <v>2480.7300054623797</v>
      </c>
      <c r="P10" s="39">
        <f>IFERROR(INDEX('ORG-Metrics'!$A$1:$U$38,MATCH($A10,'ORG-Metrics'!$A$1:$A$38,0),MATCH(P$1,'ORG-Metrics'!$1:$1,0)),"")</f>
        <v>62.300598866783105</v>
      </c>
      <c r="Q10" s="39">
        <f>IFERROR(INDEX('ORG-Metrics'!$A$1:$U$38,MATCH($A10,'ORG-Metrics'!$A$1:$A$38,0),MATCH(Q$1,'ORG-Metrics'!$1:$1,0)),"")</f>
        <v>168.18949167573572</v>
      </c>
      <c r="R10" s="39">
        <f>IFERROR(INDEX('ORG-Metrics'!$A$1:$U$38,MATCH($A10,'ORG-Metrics'!$A$1:$A$38,0),MATCH(R$1,'ORG-Metrics'!$1:$1,0)),"")</f>
        <v>107.57661804363188</v>
      </c>
      <c r="S10" s="39">
        <f>IFERROR(INDEX('ORG-Metrics'!$A$1:$U$38,MATCH($A10,'ORG-Metrics'!$A$1:$A$38,0),MATCH(S$1,'ORG-Metrics'!$1:$1,0)),"")</f>
        <v>1.6278479218193536</v>
      </c>
      <c r="T10" s="39">
        <f>IFERROR(INDEX('ORG-Metrics'!$A$1:$U$38,MATCH($A10,'ORG-Metrics'!$A$1:$A$38,0),MATCH(T$1,'ORG-Metrics'!$1:$1,0)),"")</f>
        <v>233.56775782261391</v>
      </c>
      <c r="U10" s="39">
        <f>IFERROR(INDEX('ORG-Metrics'!$A$1:$U$38,MATCH($A10,'ORG-Metrics'!$A$1:$A$38,0),MATCH(U$1,'ORG-Metrics'!$1:$1,0)),"")</f>
        <v>144.44141718267522</v>
      </c>
      <c r="W10" s="27">
        <f t="shared" si="0"/>
        <v>95808.01443408565</v>
      </c>
      <c r="X10" s="60" t="str">
        <f t="shared" si="1"/>
        <v>Medium</v>
      </c>
      <c r="Z10" s="30" t="str">
        <f t="shared" si="2"/>
        <v>Medium</v>
      </c>
    </row>
    <row r="11" spans="1:26" x14ac:dyDescent="0.3">
      <c r="A11" s="30" t="str">
        <v>I</v>
      </c>
      <c r="B11" s="39">
        <f>IFERROR(INDEX('ORG-Metrics'!$A$1:$U$38,MATCH($A11,'ORG-Metrics'!$A$1:$A$38,0),MATCH(B$1,'ORG-Metrics'!$1:$1,0)),"")</f>
        <v>0.19631914893962854</v>
      </c>
      <c r="C11" s="39">
        <f>IFERROR(INDEX('ORG-Metrics'!$A$1:$U$38,MATCH($A11,'ORG-Metrics'!$A$1:$A$38,0),MATCH(C$1,'ORG-Metrics'!$1:$1,0)),"")</f>
        <v>1069.8077907245233</v>
      </c>
      <c r="D11" s="39">
        <f>IFERROR(INDEX('ORG-Metrics'!$A$1:$U$38,MATCH($A11,'ORG-Metrics'!$A$1:$A$38,0),MATCH(D$1,'ORG-Metrics'!$1:$1,0)),"")</f>
        <v>4506.8536689404064</v>
      </c>
      <c r="E11" s="39">
        <f>IFERROR(INDEX('ORG-Metrics'!$A$1:$U$38,MATCH($A11,'ORG-Metrics'!$A$1:$A$38,0),MATCH(E$1,'ORG-Metrics'!$1:$1,0)),"")</f>
        <v>9.3915540529134214E-2</v>
      </c>
      <c r="F11" s="39">
        <f>IFERROR(INDEX('ORG-Metrics'!$A$1:$U$38,MATCH($A11,'ORG-Metrics'!$A$1:$A$38,0),MATCH(F$1,'ORG-Metrics'!$1:$1,0)),"")</f>
        <v>8.1539446135470359E-3</v>
      </c>
      <c r="G11" s="39">
        <f>IFERROR(INDEX('ORG-Metrics'!$A$1:$U$38,MATCH($A11,'ORG-Metrics'!$A$1:$A$38,0),MATCH(G$1,'ORG-Metrics'!$1:$1,0)),"")</f>
        <v>0.1219094641527502</v>
      </c>
      <c r="H11" s="39">
        <f>IFERROR(INDEX('ORG-Metrics'!$A$1:$U$38,MATCH($A11,'ORG-Metrics'!$A$1:$A$38,0),MATCH(H$1,'ORG-Metrics'!$1:$1,0)),"")</f>
        <v>0.18795252404147914</v>
      </c>
      <c r="I11" s="39">
        <f>IFERROR(INDEX('ORG-Metrics'!$A$1:$U$38,MATCH($A11,'ORG-Metrics'!$A$1:$A$38,0),MATCH(I$1,'ORG-Metrics'!$1:$1,0)),"")</f>
        <v>4.8288112105472764E-2</v>
      </c>
      <c r="J11" s="39" t="str">
        <f>IFERROR(INDEX('ORG-Metrics'!$A$1:$U$38,MATCH($A11,'ORG-Metrics'!$A$1:$A$38,0),MATCH(J$1,'ORG-Metrics'!$1:$1,0)),"")</f>
        <v/>
      </c>
      <c r="K11" s="39">
        <f>IFERROR(INDEX('ORG-Metrics'!$A$1:$U$38,MATCH($A11,'ORG-Metrics'!$A$1:$A$38,0),MATCH(K$1,'ORG-Metrics'!$1:$1,0)),"")</f>
        <v>39933.970829996957</v>
      </c>
      <c r="L11" s="39">
        <f>IFERROR(INDEX('ORG-Metrics'!$A$1:$U$38,MATCH($A11,'ORG-Metrics'!$A$1:$A$38,0),MATCH(L$1,'ORG-Metrics'!$1:$1,0)),"")</f>
        <v>5081.2595952273696</v>
      </c>
      <c r="M11" s="39">
        <f>IFERROR(INDEX('ORG-Metrics'!$A$1:$U$38,MATCH($A11,'ORG-Metrics'!$A$1:$A$38,0),MATCH(M$1,'ORG-Metrics'!$1:$1,0)),"")</f>
        <v>33777.15191985984</v>
      </c>
      <c r="N11" s="39">
        <f>IFERROR(INDEX('ORG-Metrics'!$A$1:$U$38,MATCH($A11,'ORG-Metrics'!$A$1:$A$38,0),MATCH(N$1,'ORG-Metrics'!$1:$1,0)),"")</f>
        <v>2574.0511349388989</v>
      </c>
      <c r="O11" s="39">
        <f>IFERROR(INDEX('ORG-Metrics'!$A$1:$U$38,MATCH($A11,'ORG-Metrics'!$A$1:$A$38,0),MATCH(O$1,'ORG-Metrics'!$1:$1,0)),"")</f>
        <v>246.26144907502845</v>
      </c>
      <c r="P11" s="39">
        <f>IFERROR(INDEX('ORG-Metrics'!$A$1:$U$38,MATCH($A11,'ORG-Metrics'!$A$1:$A$38,0),MATCH(P$1,'ORG-Metrics'!$1:$1,0)),"")</f>
        <v>15.224003632288966</v>
      </c>
      <c r="Q11" s="39">
        <f>IFERROR(INDEX('ORG-Metrics'!$A$1:$U$38,MATCH($A11,'ORG-Metrics'!$A$1:$A$38,0),MATCH(Q$1,'ORG-Metrics'!$1:$1,0)),"")</f>
        <v>134.72902421238186</v>
      </c>
      <c r="R11" s="39">
        <f>IFERROR(INDEX('ORG-Metrics'!$A$1:$U$38,MATCH($A11,'ORG-Metrics'!$A$1:$A$38,0),MATCH(R$1,'ORG-Metrics'!$1:$1,0)),"")</f>
        <v>39.060448979217981</v>
      </c>
      <c r="S11" s="39">
        <f>IFERROR(INDEX('ORG-Metrics'!$A$1:$U$38,MATCH($A11,'ORG-Metrics'!$A$1:$A$38,0),MATCH(S$1,'ORG-Metrics'!$1:$1,0)),"")</f>
        <v>2.1497332932699442</v>
      </c>
      <c r="T11" s="39">
        <f>IFERROR(INDEX('ORG-Metrics'!$A$1:$U$38,MATCH($A11,'ORG-Metrics'!$A$1:$A$38,0),MATCH(T$1,'ORG-Metrics'!$1:$1,0)),"")</f>
        <v>369.85114860983532</v>
      </c>
      <c r="U11" s="39">
        <f>IFERROR(INDEX('ORG-Metrics'!$A$1:$U$38,MATCH($A11,'ORG-Metrics'!$A$1:$A$38,0),MATCH(U$1,'ORG-Metrics'!$1:$1,0)),"")</f>
        <v>174.98526397439363</v>
      </c>
      <c r="W11" s="27">
        <f t="shared" si="0"/>
        <v>73957.384198931817</v>
      </c>
      <c r="X11" s="60" t="str">
        <f t="shared" si="1"/>
        <v>Small</v>
      </c>
      <c r="Z11" s="30" t="str">
        <f t="shared" si="2"/>
        <v>Medium</v>
      </c>
    </row>
    <row r="12" spans="1:26" x14ac:dyDescent="0.3">
      <c r="A12" s="30" t="str">
        <v>J</v>
      </c>
      <c r="B12" s="39">
        <f>IFERROR(INDEX('ORG-Metrics'!$A$1:$U$38,MATCH($A12,'ORG-Metrics'!$A$1:$A$38,0),MATCH(B$1,'ORG-Metrics'!$1:$1,0)),"")</f>
        <v>0.20512920380461938</v>
      </c>
      <c r="C12" s="39">
        <f>IFERROR(INDEX('ORG-Metrics'!$A$1:$U$38,MATCH($A12,'ORG-Metrics'!$A$1:$A$38,0),MATCH(C$1,'ORG-Metrics'!$1:$1,0)),"")</f>
        <v>1089.5915997084317</v>
      </c>
      <c r="D12" s="39">
        <f>IFERROR(INDEX('ORG-Metrics'!$A$1:$U$38,MATCH($A12,'ORG-Metrics'!$A$1:$A$38,0),MATCH(D$1,'ORG-Metrics'!$1:$1,0)),"")</f>
        <v>4818.8839265238094</v>
      </c>
      <c r="E12" s="39">
        <f>IFERROR(INDEX('ORG-Metrics'!$A$1:$U$38,MATCH($A12,'ORG-Metrics'!$A$1:$A$38,0),MATCH(E$1,'ORG-Metrics'!$1:$1,0)),"")</f>
        <v>0.10108585737845205</v>
      </c>
      <c r="F12" s="39">
        <f>IFERROR(INDEX('ORG-Metrics'!$A$1:$U$38,MATCH($A12,'ORG-Metrics'!$A$1:$A$38,0),MATCH(F$1,'ORG-Metrics'!$1:$1,0)),"")</f>
        <v>1.3308021361682026E-2</v>
      </c>
      <c r="G12" s="39">
        <f>IFERROR(INDEX('ORG-Metrics'!$A$1:$U$38,MATCH($A12,'ORG-Metrics'!$A$1:$A$38,0),MATCH(G$1,'ORG-Metrics'!$1:$1,0)),"")</f>
        <v>0.12701433124158615</v>
      </c>
      <c r="H12" s="39">
        <f>IFERROR(INDEX('ORG-Metrics'!$A$1:$U$38,MATCH($A12,'ORG-Metrics'!$A$1:$A$38,0),MATCH(H$1,'ORG-Metrics'!$1:$1,0)),"")</f>
        <v>0.25914516023883216</v>
      </c>
      <c r="I12" s="39">
        <f>IFERROR(INDEX('ORG-Metrics'!$A$1:$U$38,MATCH($A12,'ORG-Metrics'!$A$1:$A$38,0),MATCH(I$1,'ORG-Metrics'!$1:$1,0)),"")</f>
        <v>3.0203094982764998E-2</v>
      </c>
      <c r="J12" s="39">
        <f>IFERROR(INDEX('ORG-Metrics'!$A$1:$U$38,MATCH($A12,'ORG-Metrics'!$A$1:$A$38,0),MATCH(J$1,'ORG-Metrics'!$1:$1,0)),"")</f>
        <v>0.3119627825386645</v>
      </c>
      <c r="K12" s="39">
        <f>IFERROR(INDEX('ORG-Metrics'!$A$1:$U$38,MATCH($A12,'ORG-Metrics'!$A$1:$A$38,0),MATCH(K$1,'ORG-Metrics'!$1:$1,0)),"")</f>
        <v>55043.264423115616</v>
      </c>
      <c r="L12" s="39">
        <f>IFERROR(INDEX('ORG-Metrics'!$A$1:$U$38,MATCH($A12,'ORG-Metrics'!$A$1:$A$38,0),MATCH(L$1,'ORG-Metrics'!$1:$1,0)),"")</f>
        <v>16796.516835614337</v>
      </c>
      <c r="M12" s="39">
        <f>IFERROR(INDEX('ORG-Metrics'!$A$1:$U$38,MATCH($A12,'ORG-Metrics'!$A$1:$A$38,0),MATCH(M$1,'ORG-Metrics'!$1:$1,0)),"")</f>
        <v>31656.438416286648</v>
      </c>
      <c r="N12" s="39">
        <f>IFERROR(INDEX('ORG-Metrics'!$A$1:$U$38,MATCH($A12,'ORG-Metrics'!$A$1:$A$38,0),MATCH(N$1,'ORG-Metrics'!$1:$1,0)),"")</f>
        <v>4761.782885761324</v>
      </c>
      <c r="O12" s="39">
        <f>IFERROR(INDEX('ORG-Metrics'!$A$1:$U$38,MATCH($A12,'ORG-Metrics'!$A$1:$A$38,0),MATCH(O$1,'ORG-Metrics'!$1:$1,0)),"")</f>
        <v>2339.1480735981277</v>
      </c>
      <c r="P12" s="39">
        <f>IFERROR(INDEX('ORG-Metrics'!$A$1:$U$38,MATCH($A12,'ORG-Metrics'!$A$1:$A$38,0),MATCH(P$1,'ORG-Metrics'!$1:$1,0)),"")</f>
        <v>447.2253496591253</v>
      </c>
      <c r="Q12" s="39">
        <f>IFERROR(INDEX('ORG-Metrics'!$A$1:$U$38,MATCH($A12,'ORG-Metrics'!$A$1:$A$38,0),MATCH(Q$1,'ORG-Metrics'!$1:$1,0)),"")</f>
        <v>154.6879939470443</v>
      </c>
      <c r="R12" s="39">
        <f>IFERROR(INDEX('ORG-Metrics'!$A$1:$U$38,MATCH($A12,'ORG-Metrics'!$A$1:$A$38,0),MATCH(R$1,'ORG-Metrics'!$1:$1,0)),"")</f>
        <v>86.729239581206869</v>
      </c>
      <c r="S12" s="39">
        <f>IFERROR(INDEX('ORG-Metrics'!$A$1:$U$38,MATCH($A12,'ORG-Metrics'!$A$1:$A$38,0),MATCH(S$1,'ORG-Metrics'!$1:$1,0)),"")</f>
        <v>1.8300205798931941</v>
      </c>
      <c r="T12" s="39">
        <f>IFERROR(INDEX('ORG-Metrics'!$A$1:$U$38,MATCH($A12,'ORG-Metrics'!$A$1:$A$38,0),MATCH(T$1,'ORG-Metrics'!$1:$1,0)),"")</f>
        <v>142.27253239620839</v>
      </c>
      <c r="U12" s="39">
        <f>IFERROR(INDEX('ORG-Metrics'!$A$1:$U$38,MATCH($A12,'ORG-Metrics'!$A$1:$A$38,0),MATCH(U$1,'ORG-Metrics'!$1:$1,0)),"")</f>
        <v>91.508938314474179</v>
      </c>
      <c r="W12" s="27">
        <f t="shared" si="0"/>
        <v>89038.850913000395</v>
      </c>
      <c r="X12" s="60" t="str">
        <f t="shared" si="1"/>
        <v>Medium</v>
      </c>
      <c r="Z12" s="30" t="str">
        <f t="shared" si="2"/>
        <v>Medium</v>
      </c>
    </row>
    <row r="13" spans="1:26" x14ac:dyDescent="0.3">
      <c r="A13" s="30" t="str">
        <v>AA</v>
      </c>
      <c r="B13" s="39">
        <f>IFERROR(INDEX('ORG-Metrics'!$A$1:$U$38,MATCH($A13,'ORG-Metrics'!$A$1:$A$38,0),MATCH(B$1,'ORG-Metrics'!$1:$1,0)),"")</f>
        <v>0.1471962655367377</v>
      </c>
      <c r="C13" s="39">
        <f>IFERROR(INDEX('ORG-Metrics'!$A$1:$U$38,MATCH($A13,'ORG-Metrics'!$A$1:$A$38,0),MATCH(C$1,'ORG-Metrics'!$1:$1,0)),"")</f>
        <v>777.30308467806265</v>
      </c>
      <c r="D13" s="39">
        <f>IFERROR(INDEX('ORG-Metrics'!$A$1:$U$38,MATCH($A13,'ORG-Metrics'!$A$1:$A$38,0),MATCH(D$1,'ORG-Metrics'!$1:$1,0)),"")</f>
        <v>1614.6445466288892</v>
      </c>
      <c r="E13" s="39">
        <f>IFERROR(INDEX('ORG-Metrics'!$A$1:$U$38,MATCH($A13,'ORG-Metrics'!$A$1:$A$38,0),MATCH(E$1,'ORG-Metrics'!$1:$1,0)),"")</f>
        <v>9.5288266383684428E-2</v>
      </c>
      <c r="F13" s="39">
        <f>IFERROR(INDEX('ORG-Metrics'!$A$1:$U$38,MATCH($A13,'ORG-Metrics'!$A$1:$A$38,0),MATCH(F$1,'ORG-Metrics'!$1:$1,0)),"")</f>
        <v>0</v>
      </c>
      <c r="G13" s="39">
        <f>IFERROR(INDEX('ORG-Metrics'!$A$1:$U$38,MATCH($A13,'ORG-Metrics'!$A$1:$A$38,0),MATCH(G$1,'ORG-Metrics'!$1:$1,0)),"")</f>
        <v>0</v>
      </c>
      <c r="H13" s="39">
        <f>IFERROR(INDEX('ORG-Metrics'!$A$1:$U$38,MATCH($A13,'ORG-Metrics'!$A$1:$A$38,0),MATCH(H$1,'ORG-Metrics'!$1:$1,0)),"")</f>
        <v>0.31014055361161574</v>
      </c>
      <c r="I13" s="39">
        <f>IFERROR(INDEX('ORG-Metrics'!$A$1:$U$38,MATCH($A13,'ORG-Metrics'!$A$1:$A$38,0),MATCH(I$1,'ORG-Metrics'!$1:$1,0)),"")</f>
        <v>2.6697187567682752E-2</v>
      </c>
      <c r="J13" s="39" t="str">
        <f>IFERROR(INDEX('ORG-Metrics'!$A$1:$U$38,MATCH($A13,'ORG-Metrics'!$A$1:$A$38,0),MATCH(J$1,'ORG-Metrics'!$1:$1,0)),"")</f>
        <v/>
      </c>
      <c r="K13" s="39">
        <f>IFERROR(INDEX('ORG-Metrics'!$A$1:$U$38,MATCH($A13,'ORG-Metrics'!$A$1:$A$38,0),MATCH(K$1,'ORG-Metrics'!$1:$1,0)),"")</f>
        <v>43518.355390691198</v>
      </c>
      <c r="L13" s="39">
        <f>IFERROR(INDEX('ORG-Metrics'!$A$1:$U$38,MATCH($A13,'ORG-Metrics'!$A$1:$A$38,0),MATCH(L$1,'ORG-Metrics'!$1:$1,0)),"")</f>
        <v>14421.238903679263</v>
      </c>
      <c r="M13" s="39">
        <f>IFERROR(INDEX('ORG-Metrics'!$A$1:$U$38,MATCH($A13,'ORG-Metrics'!$A$1:$A$38,0),MATCH(M$1,'ORG-Metrics'!$1:$1,0)),"")</f>
        <v>12697.540259894553</v>
      </c>
      <c r="N13" s="39">
        <f>IFERROR(INDEX('ORG-Metrics'!$A$1:$U$38,MATCH($A13,'ORG-Metrics'!$A$1:$A$38,0),MATCH(N$1,'ORG-Metrics'!$1:$1,0)),"")</f>
        <v>1572.9801365668882</v>
      </c>
      <c r="O13" s="39">
        <f>IFERROR(INDEX('ORG-Metrics'!$A$1:$U$38,MATCH($A13,'ORG-Metrics'!$A$1:$A$38,0),MATCH(O$1,'ORG-Metrics'!$1:$1,0)),"")</f>
        <v>641.15955466580021</v>
      </c>
      <c r="P13" s="39">
        <f>IFERROR(INDEX('ORG-Metrics'!$A$1:$U$38,MATCH($A13,'ORG-Metrics'!$A$1:$A$38,0),MATCH(P$1,'ORG-Metrics'!$1:$1,0)),"")</f>
        <v>131.18735452644691</v>
      </c>
      <c r="Q13" s="39">
        <f>IFERROR(INDEX('ORG-Metrics'!$A$1:$U$38,MATCH($A13,'ORG-Metrics'!$A$1:$A$38,0),MATCH(Q$1,'ORG-Metrics'!$1:$1,0)),"")</f>
        <v>50.359753759161492</v>
      </c>
      <c r="R13" s="39">
        <f>IFERROR(INDEX('ORG-Metrics'!$A$1:$U$38,MATCH($A13,'ORG-Metrics'!$A$1:$A$38,0),MATCH(R$1,'ORG-Metrics'!$1:$1,0)),"")</f>
        <v>32.164609824806007</v>
      </c>
      <c r="S13" s="39">
        <f>IFERROR(INDEX('ORG-Metrics'!$A$1:$U$38,MATCH($A13,'ORG-Metrics'!$A$1:$A$38,0),MATCH(S$1,'ORG-Metrics'!$1:$1,0)),"")</f>
        <v>0.90141533792534023</v>
      </c>
      <c r="T13" s="39">
        <f>IFERROR(INDEX('ORG-Metrics'!$A$1:$U$38,MATCH($A13,'ORG-Metrics'!$A$1:$A$38,0),MATCH(T$1,'ORG-Metrics'!$1:$1,0)),"")</f>
        <v>90.414117981488232</v>
      </c>
      <c r="U13" s="39">
        <f>IFERROR(INDEX('ORG-Metrics'!$A$1:$U$38,MATCH($A13,'ORG-Metrics'!$A$1:$A$38,0),MATCH(U$1,'ORG-Metrics'!$1:$1,0)),"")</f>
        <v>59.865420741985439</v>
      </c>
      <c r="W13" s="27">
        <f t="shared" si="0"/>
        <v>56857.055205251549</v>
      </c>
      <c r="X13" s="60" t="str">
        <f t="shared" si="1"/>
        <v>Small</v>
      </c>
      <c r="Z13" s="30" t="str">
        <f t="shared" si="2"/>
        <v>Small</v>
      </c>
    </row>
    <row r="14" spans="1:26" x14ac:dyDescent="0.3">
      <c r="A14" s="30" t="str">
        <v>AK</v>
      </c>
      <c r="B14" s="39">
        <f>IFERROR(INDEX('ORG-Metrics'!$A$1:$U$38,MATCH($A14,'ORG-Metrics'!$A$1:$A$38,0),MATCH(B$1,'ORG-Metrics'!$1:$1,0)),"")</f>
        <v>0.14599035394695389</v>
      </c>
      <c r="C14" s="39">
        <f>IFERROR(INDEX('ORG-Metrics'!$A$1:$U$38,MATCH($A14,'ORG-Metrics'!$A$1:$A$38,0),MATCH(C$1,'ORG-Metrics'!$1:$1,0)),"")</f>
        <v>762.32681594137625</v>
      </c>
      <c r="D14" s="39">
        <f>IFERROR(INDEX('ORG-Metrics'!$A$1:$U$38,MATCH($A14,'ORG-Metrics'!$A$1:$A$38,0),MATCH(D$1,'ORG-Metrics'!$1:$1,0)),"")</f>
        <v>589.6240991823754</v>
      </c>
      <c r="E14" s="39">
        <f>IFERROR(INDEX('ORG-Metrics'!$A$1:$U$38,MATCH($A14,'ORG-Metrics'!$A$1:$A$38,0),MATCH(E$1,'ORG-Metrics'!$1:$1,0)),"")</f>
        <v>0.10070042948781605</v>
      </c>
      <c r="F14" s="39">
        <f>IFERROR(INDEX('ORG-Metrics'!$A$1:$U$38,MATCH($A14,'ORG-Metrics'!$A$1:$A$38,0),MATCH(F$1,'ORG-Metrics'!$1:$1,0)),"")</f>
        <v>0</v>
      </c>
      <c r="G14" s="39">
        <f>IFERROR(INDEX('ORG-Metrics'!$A$1:$U$38,MATCH($A14,'ORG-Metrics'!$A$1:$A$38,0),MATCH(G$1,'ORG-Metrics'!$1:$1,0)),"")</f>
        <v>0</v>
      </c>
      <c r="H14" s="39">
        <f>IFERROR(INDEX('ORG-Metrics'!$A$1:$U$38,MATCH($A14,'ORG-Metrics'!$A$1:$A$38,0),MATCH(H$1,'ORG-Metrics'!$1:$1,0)),"")</f>
        <v>1.6065840807312451E-2</v>
      </c>
      <c r="I14" s="39">
        <f>IFERROR(INDEX('ORG-Metrics'!$A$1:$U$38,MATCH($A14,'ORG-Metrics'!$A$1:$A$38,0),MATCH(I$1,'ORG-Metrics'!$1:$1,0)),"")</f>
        <v>7.6255446498989573E-3</v>
      </c>
      <c r="J14" s="39">
        <f>IFERROR(INDEX('ORG-Metrics'!$A$1:$U$38,MATCH($A14,'ORG-Metrics'!$A$1:$A$38,0),MATCH(J$1,'ORG-Metrics'!$1:$1,0)),"")</f>
        <v>0</v>
      </c>
      <c r="K14" s="39">
        <f>IFERROR(INDEX('ORG-Metrics'!$A$1:$U$38,MATCH($A14,'ORG-Metrics'!$A$1:$A$38,0),MATCH(K$1,'ORG-Metrics'!$1:$1,0)),"")</f>
        <v>10461.942483550703</v>
      </c>
      <c r="L14" s="39">
        <f>IFERROR(INDEX('ORG-Metrics'!$A$1:$U$38,MATCH($A14,'ORG-Metrics'!$A$1:$A$38,0),MATCH(L$1,'ORG-Metrics'!$1:$1,0)),"")</f>
        <v>789.07928419433733</v>
      </c>
      <c r="M14" s="39">
        <f>IFERROR(INDEX('ORG-Metrics'!$A$1:$U$38,MATCH($A14,'ORG-Metrics'!$A$1:$A$38,0),MATCH(M$1,'ORG-Metrics'!$1:$1,0)),"")</f>
        <v>940.0644574492336</v>
      </c>
      <c r="N14" s="39">
        <f>IFERROR(INDEX('ORG-Metrics'!$A$1:$U$38,MATCH($A14,'ORG-Metrics'!$A$1:$A$38,0),MATCH(N$1,'ORG-Metrics'!$1:$1,0)),"")</f>
        <v>0</v>
      </c>
      <c r="O14" s="39">
        <f>IFERROR(INDEX('ORG-Metrics'!$A$1:$U$38,MATCH($A14,'ORG-Metrics'!$A$1:$A$38,0),MATCH(O$1,'ORG-Metrics'!$1:$1,0)),"")</f>
        <v>13.857607188652198</v>
      </c>
      <c r="P14" s="39">
        <f>IFERROR(INDEX('ORG-Metrics'!$A$1:$U$38,MATCH($A14,'ORG-Metrics'!$A$1:$A$38,0),MATCH(P$1,'ORG-Metrics'!$1:$1,0)),"")</f>
        <v>0</v>
      </c>
      <c r="Q14" s="39">
        <f>IFERROR(INDEX('ORG-Metrics'!$A$1:$U$38,MATCH($A14,'ORG-Metrics'!$A$1:$A$38,0),MATCH(Q$1,'ORG-Metrics'!$1:$1,0)),"")</f>
        <v>0</v>
      </c>
      <c r="R14" s="39">
        <f>IFERROR(INDEX('ORG-Metrics'!$A$1:$U$38,MATCH($A14,'ORG-Metrics'!$A$1:$A$38,0),MATCH(R$1,'ORG-Metrics'!$1:$1,0)),"")</f>
        <v>0</v>
      </c>
      <c r="S14" s="39" t="str">
        <f>IFERROR(INDEX('ORG-Metrics'!$A$1:$U$38,MATCH($A14,'ORG-Metrics'!$A$1:$A$38,0),MATCH(S$1,'ORG-Metrics'!$1:$1,0)),"")</f>
        <v/>
      </c>
      <c r="T14" s="39" t="str">
        <f>IFERROR(INDEX('ORG-Metrics'!$A$1:$U$38,MATCH($A14,'ORG-Metrics'!$A$1:$A$38,0),MATCH(T$1,'ORG-Metrics'!$1:$1,0)),"")</f>
        <v/>
      </c>
      <c r="U14" s="39" t="str">
        <f>IFERROR(INDEX('ORG-Metrics'!$A$1:$U$38,MATCH($A14,'ORG-Metrics'!$A$1:$A$38,0),MATCH(U$1,'ORG-Metrics'!$1:$1,0)),"")</f>
        <v/>
      </c>
      <c r="W14" s="27">
        <f t="shared" si="0"/>
        <v>11415.864548188591</v>
      </c>
      <c r="X14" s="60" t="str">
        <f t="shared" si="1"/>
        <v>Small</v>
      </c>
      <c r="Z14" s="30" t="str">
        <f t="shared" si="2"/>
        <v>Small</v>
      </c>
    </row>
    <row r="15" spans="1:26" x14ac:dyDescent="0.3">
      <c r="A15" s="30" t="str">
        <v>B</v>
      </c>
      <c r="B15" s="39">
        <f>IFERROR(INDEX('ORG-Metrics'!$A$1:$U$38,MATCH($A15,'ORG-Metrics'!$A$1:$A$38,0),MATCH(B$1,'ORG-Metrics'!$1:$1,0)),"")</f>
        <v>0.1511029964084121</v>
      </c>
      <c r="C15" s="39">
        <f>IFERROR(INDEX('ORG-Metrics'!$A$1:$U$38,MATCH($A15,'ORG-Metrics'!$A$1:$A$38,0),MATCH(C$1,'ORG-Metrics'!$1:$1,0)),"")</f>
        <v>761.97069736110859</v>
      </c>
      <c r="D15" s="39">
        <f>IFERROR(INDEX('ORG-Metrics'!$A$1:$U$38,MATCH($A15,'ORG-Metrics'!$A$1:$A$38,0),MATCH(D$1,'ORG-Metrics'!$1:$1,0)),"")</f>
        <v>555.46833051517433</v>
      </c>
      <c r="E15" s="39">
        <f>IFERROR(INDEX('ORG-Metrics'!$A$1:$U$38,MATCH($A15,'ORG-Metrics'!$A$1:$A$38,0),MATCH(E$1,'ORG-Metrics'!$1:$1,0)),"")</f>
        <v>6.1059868538786435E-2</v>
      </c>
      <c r="F15" s="39">
        <f>IFERROR(INDEX('ORG-Metrics'!$A$1:$U$38,MATCH($A15,'ORG-Metrics'!$A$1:$A$38,0),MATCH(F$1,'ORG-Metrics'!$1:$1,0)),"")</f>
        <v>3.9853785777738751E-2</v>
      </c>
      <c r="G15" s="39">
        <f>IFERROR(INDEX('ORG-Metrics'!$A$1:$U$38,MATCH($A15,'ORG-Metrics'!$A$1:$A$38,0),MATCH(G$1,'ORG-Metrics'!$1:$1,0)),"")</f>
        <v>9.8736249887320535E-2</v>
      </c>
      <c r="H15" s="39">
        <f>IFERROR(INDEX('ORG-Metrics'!$A$1:$U$38,MATCH($A15,'ORG-Metrics'!$A$1:$A$38,0),MATCH(H$1,'ORG-Metrics'!$1:$1,0)),"")</f>
        <v>0.18647968918693994</v>
      </c>
      <c r="I15" s="39">
        <f>IFERROR(INDEX('ORG-Metrics'!$A$1:$U$38,MATCH($A15,'ORG-Metrics'!$A$1:$A$38,0),MATCH(I$1,'ORG-Metrics'!$1:$1,0)),"")</f>
        <v>8.2174355847106067E-3</v>
      </c>
      <c r="J15" s="39">
        <f>IFERROR(INDEX('ORG-Metrics'!$A$1:$U$38,MATCH($A15,'ORG-Metrics'!$A$1:$A$38,0),MATCH(J$1,'ORG-Metrics'!$1:$1,0)),"")</f>
        <v>0.31075384387650778</v>
      </c>
      <c r="K15" s="39">
        <f>IFERROR(INDEX('ORG-Metrics'!$A$1:$U$38,MATCH($A15,'ORG-Metrics'!$A$1:$A$38,0),MATCH(K$1,'ORG-Metrics'!$1:$1,0)),"")</f>
        <v>24313.550727824619</v>
      </c>
      <c r="L15" s="39">
        <f>IFERROR(INDEX('ORG-Metrics'!$A$1:$U$38,MATCH($A15,'ORG-Metrics'!$A$1:$A$38,0),MATCH(L$1,'ORG-Metrics'!$1:$1,0)),"")</f>
        <v>6930.0362808416012</v>
      </c>
      <c r="M15" s="39">
        <f>IFERROR(INDEX('ORG-Metrics'!$A$1:$U$38,MATCH($A15,'ORG-Metrics'!$A$1:$A$38,0),MATCH(M$1,'ORG-Metrics'!$1:$1,0)),"")</f>
        <v>3165.0747162117996</v>
      </c>
      <c r="N15" s="39">
        <f>IFERROR(INDEX('ORG-Metrics'!$A$1:$U$38,MATCH($A15,'ORG-Metrics'!$A$1:$A$38,0),MATCH(N$1,'ORG-Metrics'!$1:$1,0)),"")</f>
        <v>584.00463642470504</v>
      </c>
      <c r="O15" s="39">
        <f>IFERROR(INDEX('ORG-Metrics'!$A$1:$U$38,MATCH($A15,'ORG-Metrics'!$A$1:$A$38,0),MATCH(O$1,'ORG-Metrics'!$1:$1,0)),"")</f>
        <v>4864.768719872598</v>
      </c>
      <c r="P15" s="39">
        <f>IFERROR(INDEX('ORG-Metrics'!$A$1:$U$38,MATCH($A15,'ORG-Metrics'!$A$1:$A$38,0),MATCH(P$1,'ORG-Metrics'!$1:$1,0)),"")</f>
        <v>357.44623731867244</v>
      </c>
      <c r="Q15" s="39">
        <f>IFERROR(INDEX('ORG-Metrics'!$A$1:$U$38,MATCH($A15,'ORG-Metrics'!$A$1:$A$38,0),MATCH(Q$1,'ORG-Metrics'!$1:$1,0)),"")</f>
        <v>0</v>
      </c>
      <c r="R15" s="39">
        <f>IFERROR(INDEX('ORG-Metrics'!$A$1:$U$38,MATCH($A15,'ORG-Metrics'!$A$1:$A$38,0),MATCH(R$1,'ORG-Metrics'!$1:$1,0)),"")</f>
        <v>0</v>
      </c>
      <c r="S15" s="39">
        <f>IFERROR(INDEX('ORG-Metrics'!$A$1:$U$38,MATCH($A15,'ORG-Metrics'!$A$1:$A$38,0),MATCH(S$1,'ORG-Metrics'!$1:$1,0)),"")</f>
        <v>2.4411062480774111</v>
      </c>
      <c r="T15" s="39">
        <f>IFERROR(INDEX('ORG-Metrics'!$A$1:$U$38,MATCH($A15,'ORG-Metrics'!$A$1:$A$38,0),MATCH(T$1,'ORG-Metrics'!$1:$1,0)),"")</f>
        <v>340.82971727026228</v>
      </c>
      <c r="U15" s="39">
        <f>IFERROR(INDEX('ORG-Metrics'!$A$1:$U$38,MATCH($A15,'ORG-Metrics'!$A$1:$A$38,0),MATCH(U$1,'ORG-Metrics'!$1:$1,0)),"")</f>
        <v>159.07221685826624</v>
      </c>
      <c r="W15" s="27">
        <f t="shared" si="0"/>
        <v>32343.394163909015</v>
      </c>
      <c r="X15" s="60" t="str">
        <f t="shared" si="1"/>
        <v>Small</v>
      </c>
      <c r="Z15" s="30" t="str">
        <f t="shared" si="2"/>
        <v>Small</v>
      </c>
    </row>
    <row r="16" spans="1:26" x14ac:dyDescent="0.3">
      <c r="A16" s="30" t="str">
        <v>D</v>
      </c>
      <c r="B16" s="39">
        <f>IFERROR(INDEX('ORG-Metrics'!$A$1:$U$38,MATCH($A16,'ORG-Metrics'!$A$1:$A$38,0),MATCH(B$1,'ORG-Metrics'!$1:$1,0)),"")</f>
        <v>0.19097853388589306</v>
      </c>
      <c r="C16" s="39">
        <f>IFERROR(INDEX('ORG-Metrics'!$A$1:$U$38,MATCH($A16,'ORG-Metrics'!$A$1:$A$38,0),MATCH(C$1,'ORG-Metrics'!$1:$1,0)),"")</f>
        <v>1035.4424292843739</v>
      </c>
      <c r="D16" s="39">
        <f>IFERROR(INDEX('ORG-Metrics'!$A$1:$U$38,MATCH($A16,'ORG-Metrics'!$A$1:$A$38,0),MATCH(D$1,'ORG-Metrics'!$1:$1,0)),"")</f>
        <v>2706.6785656884049</v>
      </c>
      <c r="E16" s="39">
        <f>IFERROR(INDEX('ORG-Metrics'!$A$1:$U$38,MATCH($A16,'ORG-Metrics'!$A$1:$A$38,0),MATCH(E$1,'ORG-Metrics'!$1:$1,0)),"")</f>
        <v>7.4748842717268907E-2</v>
      </c>
      <c r="F16" s="39">
        <f>IFERROR(INDEX('ORG-Metrics'!$A$1:$U$38,MATCH($A16,'ORG-Metrics'!$A$1:$A$38,0),MATCH(F$1,'ORG-Metrics'!$1:$1,0)),"")</f>
        <v>8.4520736925092037E-3</v>
      </c>
      <c r="G16" s="39">
        <f>IFERROR(INDEX('ORG-Metrics'!$A$1:$U$38,MATCH($A16,'ORG-Metrics'!$A$1:$A$38,0),MATCH(G$1,'ORG-Metrics'!$1:$1,0)),"")</f>
        <v>1.5993950280816894E-2</v>
      </c>
      <c r="H16" s="39">
        <f>IFERROR(INDEX('ORG-Metrics'!$A$1:$U$38,MATCH($A16,'ORG-Metrics'!$A$1:$A$38,0),MATCH(H$1,'ORG-Metrics'!$1:$1,0)),"")</f>
        <v>0.18525804328284867</v>
      </c>
      <c r="I16" s="39">
        <f>IFERROR(INDEX('ORG-Metrics'!$A$1:$U$38,MATCH($A16,'ORG-Metrics'!$A$1:$A$38,0),MATCH(I$1,'ORG-Metrics'!$1:$1,0)),"")</f>
        <v>1.0272475998373276E-2</v>
      </c>
      <c r="J16" s="39">
        <f>IFERROR(INDEX('ORG-Metrics'!$A$1:$U$38,MATCH($A16,'ORG-Metrics'!$A$1:$A$38,0),MATCH(J$1,'ORG-Metrics'!$1:$1,0)),"")</f>
        <v>0.28805037373882736</v>
      </c>
      <c r="K16" s="39">
        <f>IFERROR(INDEX('ORG-Metrics'!$A$1:$U$38,MATCH($A16,'ORG-Metrics'!$A$1:$A$38,0),MATCH(K$1,'ORG-Metrics'!$1:$1,0)),"")</f>
        <v>22340.849964012003</v>
      </c>
      <c r="L16" s="39">
        <f>IFERROR(INDEX('ORG-Metrics'!$A$1:$U$38,MATCH($A16,'ORG-Metrics'!$A$1:$A$38,0),MATCH(L$1,'ORG-Metrics'!$1:$1,0)),"")</f>
        <v>4226.8350257935599</v>
      </c>
      <c r="M16" s="39">
        <f>IFERROR(INDEX('ORG-Metrics'!$A$1:$U$38,MATCH($A16,'ORG-Metrics'!$A$1:$A$38,0),MATCH(M$1,'ORG-Metrics'!$1:$1,0)),"")</f>
        <v>10842.262427467289</v>
      </c>
      <c r="N16" s="39">
        <f>IFERROR(INDEX('ORG-Metrics'!$A$1:$U$38,MATCH($A16,'ORG-Metrics'!$A$1:$A$38,0),MATCH(N$1,'ORG-Metrics'!$1:$1,0)),"")</f>
        <v>1439.1201408661082</v>
      </c>
      <c r="O16" s="39">
        <f>IFERROR(INDEX('ORG-Metrics'!$A$1:$U$38,MATCH($A16,'ORG-Metrics'!$A$1:$A$38,0),MATCH(O$1,'ORG-Metrics'!$1:$1,0)),"")</f>
        <v>100.42512595675093</v>
      </c>
      <c r="P16" s="39">
        <f>IFERROR(INDEX('ORG-Metrics'!$A$1:$U$38,MATCH($A16,'ORG-Metrics'!$A$1:$A$38,0),MATCH(P$1,'ORG-Metrics'!$1:$1,0)),"")</f>
        <v>12.662985956147461</v>
      </c>
      <c r="Q16" s="39">
        <f>IFERROR(INDEX('ORG-Metrics'!$A$1:$U$38,MATCH($A16,'ORG-Metrics'!$A$1:$A$38,0),MATCH(Q$1,'ORG-Metrics'!$1:$1,0)),"")</f>
        <v>160.76708693811415</v>
      </c>
      <c r="R16" s="39">
        <f>IFERROR(INDEX('ORG-Metrics'!$A$1:$U$38,MATCH($A16,'ORG-Metrics'!$A$1:$A$38,0),MATCH(R$1,'ORG-Metrics'!$1:$1,0)),"")</f>
        <v>121.77538848815317</v>
      </c>
      <c r="S16" s="39">
        <f>IFERROR(INDEX('ORG-Metrics'!$A$1:$U$38,MATCH($A16,'ORG-Metrics'!$A$1:$A$38,0),MATCH(S$1,'ORG-Metrics'!$1:$1,0)),"")</f>
        <v>1.6277590337710757</v>
      </c>
      <c r="T16" s="39">
        <f>IFERROR(INDEX('ORG-Metrics'!$A$1:$U$38,MATCH($A16,'ORG-Metrics'!$A$1:$A$38,0),MATCH(T$1,'ORG-Metrics'!$1:$1,0)),"")</f>
        <v>220.58795236315802</v>
      </c>
      <c r="U16" s="39">
        <f>IFERROR(INDEX('ORG-Metrics'!$A$1:$U$38,MATCH($A16,'ORG-Metrics'!$A$1:$A$38,0),MATCH(U$1,'ORG-Metrics'!$1:$1,0)),"")</f>
        <v>104.7459108281267</v>
      </c>
      <c r="W16" s="27">
        <f t="shared" si="0"/>
        <v>33283.537517436045</v>
      </c>
      <c r="X16" s="60" t="str">
        <f t="shared" si="1"/>
        <v>Small</v>
      </c>
      <c r="Z16" s="30" t="str">
        <f t="shared" si="2"/>
        <v>Small</v>
      </c>
    </row>
    <row r="17" spans="1:26" x14ac:dyDescent="0.3">
      <c r="A17" s="30" t="str">
        <v>F</v>
      </c>
      <c r="B17" s="39">
        <f>IFERROR(INDEX('ORG-Metrics'!$A$1:$U$38,MATCH($A17,'ORG-Metrics'!$A$1:$A$38,0),MATCH(B$1,'ORG-Metrics'!$1:$1,0)),"")</f>
        <v>0.14321894308448696</v>
      </c>
      <c r="C17" s="39">
        <f>IFERROR(INDEX('ORG-Metrics'!$A$1:$U$38,MATCH($A17,'ORG-Metrics'!$A$1:$A$38,0),MATCH(C$1,'ORG-Metrics'!$1:$1,0)),"")</f>
        <v>754.65669392675534</v>
      </c>
      <c r="D17" s="39">
        <f>IFERROR(INDEX('ORG-Metrics'!$A$1:$U$38,MATCH($A17,'ORG-Metrics'!$A$1:$A$38,0),MATCH(D$1,'ORG-Metrics'!$1:$1,0)),"")</f>
        <v>46.714592059130531</v>
      </c>
      <c r="E17" s="39">
        <f>IFERROR(INDEX('ORG-Metrics'!$A$1:$U$38,MATCH($A17,'ORG-Metrics'!$A$1:$A$38,0),MATCH(E$1,'ORG-Metrics'!$1:$1,0)),"")</f>
        <v>9.500595155474191E-2</v>
      </c>
      <c r="F17" s="39">
        <f>IFERROR(INDEX('ORG-Metrics'!$A$1:$U$38,MATCH($A17,'ORG-Metrics'!$A$1:$A$38,0),MATCH(F$1,'ORG-Metrics'!$1:$1,0)),"")</f>
        <v>1.8394351986203285E-2</v>
      </c>
      <c r="G17" s="39">
        <f>IFERROR(INDEX('ORG-Metrics'!$A$1:$U$38,MATCH($A17,'ORG-Metrics'!$A$1:$A$38,0),MATCH(G$1,'ORG-Metrics'!$1:$1,0)),"")</f>
        <v>9.0559966061956917E-2</v>
      </c>
      <c r="H17" s="39">
        <f>IFERROR(INDEX('ORG-Metrics'!$A$1:$U$38,MATCH($A17,'ORG-Metrics'!$A$1:$A$38,0),MATCH(H$1,'ORG-Metrics'!$1:$1,0)),"")</f>
        <v>0.20671013247090861</v>
      </c>
      <c r="I17" s="39">
        <f>IFERROR(INDEX('ORG-Metrics'!$A$1:$U$38,MATCH($A17,'ORG-Metrics'!$A$1:$A$38,0),MATCH(I$1,'ORG-Metrics'!$1:$1,0)),"")</f>
        <v>4.117294129489241E-3</v>
      </c>
      <c r="J17" s="39">
        <f>IFERROR(INDEX('ORG-Metrics'!$A$1:$U$38,MATCH($A17,'ORG-Metrics'!$A$1:$A$38,0),MATCH(J$1,'ORG-Metrics'!$1:$1,0)),"")</f>
        <v>0</v>
      </c>
      <c r="K17" s="39">
        <f>IFERROR(INDEX('ORG-Metrics'!$A$1:$U$38,MATCH($A17,'ORG-Metrics'!$A$1:$A$38,0),MATCH(K$1,'ORG-Metrics'!$1:$1,0)),"")</f>
        <v>17743.649727076157</v>
      </c>
      <c r="L17" s="39">
        <f>IFERROR(INDEX('ORG-Metrics'!$A$1:$U$38,MATCH($A17,'ORG-Metrics'!$A$1:$A$38,0),MATCH(L$1,'ORG-Metrics'!$1:$1,0)),"")</f>
        <v>5241.1352580703106</v>
      </c>
      <c r="M17" s="39">
        <f>IFERROR(INDEX('ORG-Metrics'!$A$1:$U$38,MATCH($A17,'ORG-Metrics'!$A$1:$A$38,0),MATCH(M$1,'ORG-Metrics'!$1:$1,0)),"")</f>
        <v>769.24966752148782</v>
      </c>
      <c r="N17" s="39">
        <f>IFERROR(INDEX('ORG-Metrics'!$A$1:$U$38,MATCH($A17,'ORG-Metrics'!$A$1:$A$38,0),MATCH(N$1,'ORG-Metrics'!$1:$1,0)),"")</f>
        <v>333.70891511126064</v>
      </c>
      <c r="O17" s="39">
        <f>IFERROR(INDEX('ORG-Metrics'!$A$1:$U$38,MATCH($A17,'ORG-Metrics'!$A$1:$A$38,0),MATCH(O$1,'ORG-Metrics'!$1:$1,0)),"")</f>
        <v>187.21405200676759</v>
      </c>
      <c r="P17" s="39">
        <f>IFERROR(INDEX('ORG-Metrics'!$A$1:$U$38,MATCH($A17,'ORG-Metrics'!$A$1:$A$38,0),MATCH(P$1,'ORG-Metrics'!$1:$1,0)),"")</f>
        <v>4.7608960738435862</v>
      </c>
      <c r="Q17" s="39">
        <f>IFERROR(INDEX('ORG-Metrics'!$A$1:$U$38,MATCH($A17,'ORG-Metrics'!$A$1:$A$38,0),MATCH(Q$1,'ORG-Metrics'!$1:$1,0)),"")</f>
        <v>0</v>
      </c>
      <c r="R17" s="39">
        <f>IFERROR(INDEX('ORG-Metrics'!$A$1:$U$38,MATCH($A17,'ORG-Metrics'!$A$1:$A$38,0),MATCH(R$1,'ORG-Metrics'!$1:$1,0)),"")</f>
        <v>0</v>
      </c>
      <c r="S17" s="39">
        <f>IFERROR(INDEX('ORG-Metrics'!$A$1:$U$38,MATCH($A17,'ORG-Metrics'!$A$1:$A$38,0),MATCH(S$1,'ORG-Metrics'!$1:$1,0)),"")</f>
        <v>0.30125194370236108</v>
      </c>
      <c r="T17" s="39">
        <f>IFERROR(INDEX('ORG-Metrics'!$A$1:$U$38,MATCH($A17,'ORG-Metrics'!$A$1:$A$38,0),MATCH(T$1,'ORG-Metrics'!$1:$1,0)),"")</f>
        <v>8.3803836744167075</v>
      </c>
      <c r="U17" s="39">
        <f>IFERROR(INDEX('ORG-Metrics'!$A$1:$U$38,MATCH($A17,'ORG-Metrics'!$A$1:$A$38,0),MATCH(U$1,'ORG-Metrics'!$1:$1,0)),"")</f>
        <v>2.165655068213006</v>
      </c>
      <c r="W17" s="27">
        <f t="shared" si="0"/>
        <v>18700.11344660441</v>
      </c>
      <c r="X17" s="60" t="str">
        <f t="shared" si="1"/>
        <v>Small</v>
      </c>
      <c r="Z17" s="30" t="str">
        <f t="shared" si="2"/>
        <v>Small</v>
      </c>
    </row>
    <row r="18" spans="1:26" x14ac:dyDescent="0.3">
      <c r="A18" s="30" t="str">
        <v>R</v>
      </c>
      <c r="B18" s="39">
        <f>IFERROR(INDEX('ORG-Metrics'!$A$1:$U$38,MATCH($A18,'ORG-Metrics'!$A$1:$A$38,0),MATCH(B$1,'ORG-Metrics'!$1:$1,0)),"")</f>
        <v>0.20793645646766667</v>
      </c>
      <c r="C18" s="39">
        <f>IFERROR(INDEX('ORG-Metrics'!$A$1:$U$38,MATCH($A18,'ORG-Metrics'!$A$1:$A$38,0),MATCH(C$1,'ORG-Metrics'!$1:$1,0)),"")</f>
        <v>1120.9667646993428</v>
      </c>
      <c r="D18" s="39">
        <f>IFERROR(INDEX('ORG-Metrics'!$A$1:$U$38,MATCH($A18,'ORG-Metrics'!$A$1:$A$38,0),MATCH(D$1,'ORG-Metrics'!$1:$1,0)),"")</f>
        <v>2985.2112994259737</v>
      </c>
      <c r="E18" s="39">
        <f>IFERROR(INDEX('ORG-Metrics'!$A$1:$U$38,MATCH($A18,'ORG-Metrics'!$A$1:$A$38,0),MATCH(E$1,'ORG-Metrics'!$1:$1,0)),"")</f>
        <v>0.11424240077061186</v>
      </c>
      <c r="F18" s="39">
        <f>IFERROR(INDEX('ORG-Metrics'!$A$1:$U$38,MATCH($A18,'ORG-Metrics'!$A$1:$A$38,0),MATCH(F$1,'ORG-Metrics'!$1:$1,0)),"")</f>
        <v>9.1902973812578986E-3</v>
      </c>
      <c r="G18" s="39">
        <f>IFERROR(INDEX('ORG-Metrics'!$A$1:$U$38,MATCH($A18,'ORG-Metrics'!$A$1:$A$38,0),MATCH(G$1,'ORG-Metrics'!$1:$1,0)),"")</f>
        <v>6.1635013140109066E-2</v>
      </c>
      <c r="H18" s="39">
        <f>IFERROR(INDEX('ORG-Metrics'!$A$1:$U$38,MATCH($A18,'ORG-Metrics'!$A$1:$A$38,0),MATCH(H$1,'ORG-Metrics'!$1:$1,0)),"")</f>
        <v>0.14820100249622162</v>
      </c>
      <c r="I18" s="39">
        <f>IFERROR(INDEX('ORG-Metrics'!$A$1:$U$38,MATCH($A18,'ORG-Metrics'!$A$1:$A$38,0),MATCH(I$1,'ORG-Metrics'!$1:$1,0)),"")</f>
        <v>7.0402604644188762E-3</v>
      </c>
      <c r="J18" s="39">
        <f>IFERROR(INDEX('ORG-Metrics'!$A$1:$U$38,MATCH($A18,'ORG-Metrics'!$A$1:$A$38,0),MATCH(J$1,'ORG-Metrics'!$1:$1,0)),"")</f>
        <v>0.20738145197561689</v>
      </c>
      <c r="K18" s="39">
        <f>IFERROR(INDEX('ORG-Metrics'!$A$1:$U$38,MATCH($A18,'ORG-Metrics'!$A$1:$A$38,0),MATCH(K$1,'ORG-Metrics'!$1:$1,0)),"")</f>
        <v>31075.483352759838</v>
      </c>
      <c r="L18" s="39">
        <f>IFERROR(INDEX('ORG-Metrics'!$A$1:$U$38,MATCH($A18,'ORG-Metrics'!$A$1:$A$38,0),MATCH(L$1,'ORG-Metrics'!$1:$1,0)),"")</f>
        <v>7387.3941575120043</v>
      </c>
      <c r="M18" s="39">
        <f>IFERROR(INDEX('ORG-Metrics'!$A$1:$U$38,MATCH($A18,'ORG-Metrics'!$A$1:$A$38,0),MATCH(M$1,'ORG-Metrics'!$1:$1,0)),"")</f>
        <v>14130.054437352117</v>
      </c>
      <c r="N18" s="39">
        <f>IFERROR(INDEX('ORG-Metrics'!$A$1:$U$38,MATCH($A18,'ORG-Metrics'!$A$1:$A$38,0),MATCH(N$1,'ORG-Metrics'!$1:$1,0)),"")</f>
        <v>1311.1761920249344</v>
      </c>
      <c r="O18" s="39">
        <f>IFERROR(INDEX('ORG-Metrics'!$A$1:$U$38,MATCH($A18,'ORG-Metrics'!$A$1:$A$38,0),MATCH(O$1,'ORG-Metrics'!$1:$1,0)),"")</f>
        <v>531.43307352457714</v>
      </c>
      <c r="P18" s="39">
        <f>IFERROR(INDEX('ORG-Metrics'!$A$1:$U$38,MATCH($A18,'ORG-Metrics'!$A$1:$A$38,0),MATCH(P$1,'ORG-Metrics'!$1:$1,0)),"")</f>
        <v>252.75329085726003</v>
      </c>
      <c r="Q18" s="39">
        <f>IFERROR(INDEX('ORG-Metrics'!$A$1:$U$38,MATCH($A18,'ORG-Metrics'!$A$1:$A$38,0),MATCH(Q$1,'ORG-Metrics'!$1:$1,0)),"")</f>
        <v>128.55499001036881</v>
      </c>
      <c r="R18" s="39">
        <f>IFERROR(INDEX('ORG-Metrics'!$A$1:$U$38,MATCH($A18,'ORG-Metrics'!$A$1:$A$38,0),MATCH(R$1,'ORG-Metrics'!$1:$1,0)),"")</f>
        <v>47.726907726219189</v>
      </c>
      <c r="S18" s="39">
        <f>IFERROR(INDEX('ORG-Metrics'!$A$1:$U$38,MATCH($A18,'ORG-Metrics'!$A$1:$A$38,0),MATCH(S$1,'ORG-Metrics'!$1:$1,0)),"")</f>
        <v>2.1223774970415921</v>
      </c>
      <c r="T18" s="39">
        <f>IFERROR(INDEX('ORG-Metrics'!$A$1:$U$38,MATCH($A18,'ORG-Metrics'!$A$1:$A$38,0),MATCH(T$1,'ORG-Metrics'!$1:$1,0)),"")</f>
        <v>147.31789445183233</v>
      </c>
      <c r="U18" s="39">
        <f>IFERROR(INDEX('ORG-Metrics'!$A$1:$U$38,MATCH($A18,'ORG-Metrics'!$A$1:$A$38,0),MATCH(U$1,'ORG-Metrics'!$1:$1,0)),"")</f>
        <v>101.99480139117811</v>
      </c>
      <c r="W18" s="27">
        <f t="shared" si="0"/>
        <v>45736.970863636532</v>
      </c>
      <c r="X18" s="60" t="str">
        <f t="shared" si="1"/>
        <v>Small</v>
      </c>
      <c r="Z18" s="30" t="str">
        <f t="shared" si="2"/>
        <v>Small</v>
      </c>
    </row>
    <row r="19" spans="1:26" x14ac:dyDescent="0.3">
      <c r="A19" s="30" t="str">
        <v>W</v>
      </c>
      <c r="B19" s="39">
        <f>IFERROR(INDEX('ORG-Metrics'!$A$1:$U$38,MATCH($A19,'ORG-Metrics'!$A$1:$A$38,0),MATCH(B$1,'ORG-Metrics'!$1:$1,0)),"")</f>
        <v>0.14930081215524948</v>
      </c>
      <c r="C19" s="39">
        <f>IFERROR(INDEX('ORG-Metrics'!$A$1:$U$38,MATCH($A19,'ORG-Metrics'!$A$1:$A$38,0),MATCH(C$1,'ORG-Metrics'!$1:$1,0)),"")</f>
        <v>767.14322992580833</v>
      </c>
      <c r="D19" s="39">
        <f>IFERROR(INDEX('ORG-Metrics'!$A$1:$U$38,MATCH($A19,'ORG-Metrics'!$A$1:$A$38,0),MATCH(D$1,'ORG-Metrics'!$1:$1,0)),"")</f>
        <v>937.57932975501853</v>
      </c>
      <c r="E19" s="39">
        <f>IFERROR(INDEX('ORG-Metrics'!$A$1:$U$38,MATCH($A19,'ORG-Metrics'!$A$1:$A$38,0),MATCH(E$1,'ORG-Metrics'!$1:$1,0)),"")</f>
        <v>8.9105128507279613E-2</v>
      </c>
      <c r="F19" s="39">
        <f>IFERROR(INDEX('ORG-Metrics'!$A$1:$U$38,MATCH($A19,'ORG-Metrics'!$A$1:$A$38,0),MATCH(F$1,'ORG-Metrics'!$1:$1,0)),"")</f>
        <v>2.8915046189429652E-2</v>
      </c>
      <c r="G19" s="39">
        <f>IFERROR(INDEX('ORG-Metrics'!$A$1:$U$38,MATCH($A19,'ORG-Metrics'!$A$1:$A$38,0),MATCH(G$1,'ORG-Metrics'!$1:$1,0)),"")</f>
        <v>5.6893766599115665E-2</v>
      </c>
      <c r="H19" s="39">
        <f>IFERROR(INDEX('ORG-Metrics'!$A$1:$U$38,MATCH($A19,'ORG-Metrics'!$A$1:$A$38,0),MATCH(H$1,'ORG-Metrics'!$1:$1,0)),"")</f>
        <v>0.18031801170622067</v>
      </c>
      <c r="I19" s="39">
        <f>IFERROR(INDEX('ORG-Metrics'!$A$1:$U$38,MATCH($A19,'ORG-Metrics'!$A$1:$A$38,0),MATCH(I$1,'ORG-Metrics'!$1:$1,0)),"")</f>
        <v>3.4004021357759585E-3</v>
      </c>
      <c r="J19" s="39">
        <f>IFERROR(INDEX('ORG-Metrics'!$A$1:$U$38,MATCH($A19,'ORG-Metrics'!$A$1:$A$38,0),MATCH(J$1,'ORG-Metrics'!$1:$1,0)),"")</f>
        <v>0.32699121416354004</v>
      </c>
      <c r="K19" s="39">
        <f>IFERROR(INDEX('ORG-Metrics'!$A$1:$U$38,MATCH($A19,'ORG-Metrics'!$A$1:$A$38,0),MATCH(K$1,'ORG-Metrics'!$1:$1,0)),"")</f>
        <v>32823.257289187168</v>
      </c>
      <c r="L19" s="39">
        <f>IFERROR(INDEX('ORG-Metrics'!$A$1:$U$38,MATCH($A19,'ORG-Metrics'!$A$1:$A$38,0),MATCH(L$1,'ORG-Metrics'!$1:$1,0)),"")</f>
        <v>5403.7532034488622</v>
      </c>
      <c r="M19" s="39">
        <f>IFERROR(INDEX('ORG-Metrics'!$A$1:$U$38,MATCH($A19,'ORG-Metrics'!$A$1:$A$38,0),MATCH(M$1,'ORG-Metrics'!$1:$1,0)),"")</f>
        <v>5756.3499334227363</v>
      </c>
      <c r="N19" s="39">
        <f>IFERROR(INDEX('ORG-Metrics'!$A$1:$U$38,MATCH($A19,'ORG-Metrics'!$A$1:$A$38,0),MATCH(N$1,'ORG-Metrics'!$1:$1,0)),"")</f>
        <v>171.93413402521489</v>
      </c>
      <c r="O19" s="39">
        <f>IFERROR(INDEX('ORG-Metrics'!$A$1:$U$38,MATCH($A19,'ORG-Metrics'!$A$1:$A$38,0),MATCH(O$1,'ORG-Metrics'!$1:$1,0)),"")</f>
        <v>713.97137970710355</v>
      </c>
      <c r="P19" s="39">
        <f>IFERROR(INDEX('ORG-Metrics'!$A$1:$U$38,MATCH($A19,'ORG-Metrics'!$A$1:$A$38,0),MATCH(P$1,'ORG-Metrics'!$1:$1,0)),"")</f>
        <v>2.1176931750465275</v>
      </c>
      <c r="Q19" s="39">
        <f>IFERROR(INDEX('ORG-Metrics'!$A$1:$U$38,MATCH($A19,'ORG-Metrics'!$A$1:$A$38,0),MATCH(Q$1,'ORG-Metrics'!$1:$1,0)),"")</f>
        <v>0</v>
      </c>
      <c r="R19" s="39">
        <f>IFERROR(INDEX('ORG-Metrics'!$A$1:$U$38,MATCH($A19,'ORG-Metrics'!$A$1:$A$38,0),MATCH(R$1,'ORG-Metrics'!$1:$1,0)),"")</f>
        <v>0</v>
      </c>
      <c r="S19" s="39">
        <f>IFERROR(INDEX('ORG-Metrics'!$A$1:$U$38,MATCH($A19,'ORG-Metrics'!$A$1:$A$38,0),MATCH(S$1,'ORG-Metrics'!$1:$1,0)),"")</f>
        <v>0.43266788646343857</v>
      </c>
      <c r="T19" s="39">
        <f>IFERROR(INDEX('ORG-Metrics'!$A$1:$U$38,MATCH($A19,'ORG-Metrics'!$A$1:$A$38,0),MATCH(T$1,'ORG-Metrics'!$1:$1,0)),"")</f>
        <v>38.561659687605299</v>
      </c>
      <c r="U19" s="39">
        <f>IFERROR(INDEX('ORG-Metrics'!$A$1:$U$38,MATCH($A19,'ORG-Metrics'!$A$1:$A$38,0),MATCH(U$1,'ORG-Metrics'!$1:$1,0)),"")</f>
        <v>31.361788576254057</v>
      </c>
      <c r="W19" s="27">
        <f t="shared" si="0"/>
        <v>39293.578602317008</v>
      </c>
      <c r="X19" s="60" t="str">
        <f t="shared" si="1"/>
        <v>Small</v>
      </c>
      <c r="Z19" s="30" t="str">
        <f t="shared" si="2"/>
        <v>Small</v>
      </c>
    </row>
    <row r="20" spans="1:26" x14ac:dyDescent="0.3">
      <c r="A20" s="31" t="str">
        <v>Y</v>
      </c>
      <c r="B20" s="39">
        <f>IFERROR(INDEX('ORG-Metrics'!$A$1:$U$38,MATCH($A20,'ORG-Metrics'!$A$1:$A$38,0),MATCH(B$1,'ORG-Metrics'!$1:$1,0)),"")</f>
        <v>0.1494722015820468</v>
      </c>
      <c r="C20" s="39">
        <f>IFERROR(INDEX('ORG-Metrics'!$A$1:$U$38,MATCH($A20,'ORG-Metrics'!$A$1:$A$38,0),MATCH(C$1,'ORG-Metrics'!$1:$1,0)),"")</f>
        <v>744.21991299828346</v>
      </c>
      <c r="D20" s="39">
        <f>IFERROR(INDEX('ORG-Metrics'!$A$1:$U$38,MATCH($A20,'ORG-Metrics'!$A$1:$A$38,0),MATCH(D$1,'ORG-Metrics'!$1:$1,0)),"")</f>
        <v>1443.7562645391799</v>
      </c>
      <c r="E20" s="39">
        <f>IFERROR(INDEX('ORG-Metrics'!$A$1:$U$38,MATCH($A20,'ORG-Metrics'!$A$1:$A$38,0),MATCH(E$1,'ORG-Metrics'!$1:$1,0)),"")</f>
        <v>6.024058438806635E-2</v>
      </c>
      <c r="F20" s="39">
        <f>IFERROR(INDEX('ORG-Metrics'!$A$1:$U$38,MATCH($A20,'ORG-Metrics'!$A$1:$A$38,0),MATCH(F$1,'ORG-Metrics'!$1:$1,0)),"")</f>
        <v>3.8590999371214345E-2</v>
      </c>
      <c r="G20" s="39">
        <f>IFERROR(INDEX('ORG-Metrics'!$A$1:$U$38,MATCH($A20,'ORG-Metrics'!$A$1:$A$38,0),MATCH(G$1,'ORG-Metrics'!$1:$1,0)),"")</f>
        <v>5.1086202308241061E-4</v>
      </c>
      <c r="H20" s="39">
        <f>IFERROR(INDEX('ORG-Metrics'!$A$1:$U$38,MATCH($A20,'ORG-Metrics'!$A$1:$A$38,0),MATCH(H$1,'ORG-Metrics'!$1:$1,0)),"")</f>
        <v>0.15987406312972099</v>
      </c>
      <c r="I20" s="39">
        <f>IFERROR(INDEX('ORG-Metrics'!$A$1:$U$38,MATCH($A20,'ORG-Metrics'!$A$1:$A$38,0),MATCH(I$1,'ORG-Metrics'!$1:$1,0)),"")</f>
        <v>1.3100158267555425E-2</v>
      </c>
      <c r="J20" s="39">
        <f>IFERROR(INDEX('ORG-Metrics'!$A$1:$U$38,MATCH($A20,'ORG-Metrics'!$A$1:$A$38,0),MATCH(J$1,'ORG-Metrics'!$1:$1,0)),"")</f>
        <v>0.36050063986723524</v>
      </c>
      <c r="K20" s="39">
        <f>IFERROR(INDEX('ORG-Metrics'!$A$1:$U$38,MATCH($A20,'ORG-Metrics'!$A$1:$A$38,0),MATCH(K$1,'ORG-Metrics'!$1:$1,0)),"")</f>
        <v>45299.841772986423</v>
      </c>
      <c r="L20" s="39">
        <f>IFERROR(INDEX('ORG-Metrics'!$A$1:$U$38,MATCH($A20,'ORG-Metrics'!$A$1:$A$38,0),MATCH(L$1,'ORG-Metrics'!$1:$1,0)),"")</f>
        <v>15135.548239733649</v>
      </c>
      <c r="M20" s="39">
        <f>IFERROR(INDEX('ORG-Metrics'!$A$1:$U$38,MATCH($A20,'ORG-Metrics'!$A$1:$A$38,0),MATCH(M$1,'ORG-Metrics'!$1:$1,0)),"")</f>
        <v>7437.0521511753595</v>
      </c>
      <c r="N20" s="39">
        <f>IFERROR(INDEX('ORG-Metrics'!$A$1:$U$38,MATCH($A20,'ORG-Metrics'!$A$1:$A$38,0),MATCH(N$1,'ORG-Metrics'!$1:$1,0)),"")</f>
        <v>1503.0352447086987</v>
      </c>
      <c r="O20" s="39">
        <f>IFERROR(INDEX('ORG-Metrics'!$A$1:$U$38,MATCH($A20,'ORG-Metrics'!$A$1:$A$38,0),MATCH(O$1,'ORG-Metrics'!$1:$1,0)),"")</f>
        <v>3694.1880619760591</v>
      </c>
      <c r="P20" s="39">
        <f>IFERROR(INDEX('ORG-Metrics'!$A$1:$U$38,MATCH($A20,'ORG-Metrics'!$A$1:$A$38,0),MATCH(P$1,'ORG-Metrics'!$1:$1,0)),"")</f>
        <v>397.40253176537368</v>
      </c>
      <c r="Q20" s="39">
        <f>IFERROR(INDEX('ORG-Metrics'!$A$1:$U$38,MATCH($A20,'ORG-Metrics'!$A$1:$A$38,0),MATCH(Q$1,'ORG-Metrics'!$1:$1,0)),"")</f>
        <v>34.36616511003281</v>
      </c>
      <c r="R20" s="39">
        <f>IFERROR(INDEX('ORG-Metrics'!$A$1:$U$38,MATCH($A20,'ORG-Metrics'!$A$1:$A$38,0),MATCH(R$1,'ORG-Metrics'!$1:$1,0)),"")</f>
        <v>23.066247454078262</v>
      </c>
      <c r="S20" s="39" t="str">
        <f>IFERROR(INDEX('ORG-Metrics'!$A$1:$U$38,MATCH($A20,'ORG-Metrics'!$A$1:$A$38,0),MATCH(S$1,'ORG-Metrics'!$1:$1,0)),"")</f>
        <v/>
      </c>
      <c r="T20" s="39" t="str">
        <f>IFERROR(INDEX('ORG-Metrics'!$A$1:$U$38,MATCH($A20,'ORG-Metrics'!$A$1:$A$38,0),MATCH(T$1,'ORG-Metrics'!$1:$1,0)),"")</f>
        <v/>
      </c>
      <c r="U20" s="39" t="str">
        <f>IFERROR(INDEX('ORG-Metrics'!$A$1:$U$38,MATCH($A20,'ORG-Metrics'!$A$1:$A$38,0),MATCH(U$1,'ORG-Metrics'!$1:$1,0)),"")</f>
        <v/>
      </c>
      <c r="W20" s="28">
        <f t="shared" si="0"/>
        <v>56431.08198613784</v>
      </c>
      <c r="X20" s="61" t="str">
        <f t="shared" si="1"/>
        <v>Small</v>
      </c>
      <c r="Z20" s="31" t="str">
        <f t="shared" si="2"/>
        <v>Small</v>
      </c>
    </row>
    <row r="21" spans="1:26" ht="16.2" thickBot="1" x14ac:dyDescent="0.35"/>
    <row r="22" spans="1:26" ht="16.2" thickBot="1" x14ac:dyDescent="0.35">
      <c r="A22" s="106" t="s">
        <v>192</v>
      </c>
      <c r="B22" s="108">
        <f t="shared" ref="B22:U22" si="3">STDEV(B2:B20)</f>
        <v>2.4213761733323111E-2</v>
      </c>
      <c r="C22" s="108">
        <f t="shared" si="3"/>
        <v>153.01301237873324</v>
      </c>
      <c r="D22" s="108">
        <f t="shared" si="3"/>
        <v>3319.6460813458352</v>
      </c>
      <c r="E22" s="108">
        <f t="shared" si="3"/>
        <v>1.4719149061637233E-2</v>
      </c>
      <c r="F22" s="108">
        <f t="shared" si="3"/>
        <v>1.1522035158844686E-2</v>
      </c>
      <c r="G22" s="108">
        <f t="shared" si="3"/>
        <v>4.395096048990426E-2</v>
      </c>
      <c r="H22" s="108">
        <f t="shared" si="3"/>
        <v>6.2206416709535438E-2</v>
      </c>
      <c r="I22" s="108">
        <f t="shared" si="3"/>
        <v>1.10471716867658E-2</v>
      </c>
      <c r="J22" s="108">
        <f t="shared" si="3"/>
        <v>0.11985807722960024</v>
      </c>
      <c r="K22" s="108">
        <f t="shared" si="3"/>
        <v>41397.229561540451</v>
      </c>
      <c r="L22" s="108">
        <f t="shared" si="3"/>
        <v>9971.6633821828491</v>
      </c>
      <c r="M22" s="108">
        <f t="shared" si="3"/>
        <v>22187.600533317906</v>
      </c>
      <c r="N22" s="108">
        <f t="shared" si="3"/>
        <v>2543.2687734973219</v>
      </c>
      <c r="O22" s="108">
        <f t="shared" si="3"/>
        <v>6992.5235930387744</v>
      </c>
      <c r="P22" s="108">
        <f t="shared" si="3"/>
        <v>428.82795435568033</v>
      </c>
      <c r="Q22" s="108">
        <f t="shared" si="3"/>
        <v>165.73866276941396</v>
      </c>
      <c r="R22" s="108">
        <f t="shared" si="3"/>
        <v>82.588094072555663</v>
      </c>
      <c r="S22" s="108">
        <f t="shared" si="3"/>
        <v>0.98789409428991415</v>
      </c>
      <c r="T22" s="108">
        <f t="shared" si="3"/>
        <v>249.17955164839921</v>
      </c>
      <c r="U22" s="108">
        <f t="shared" si="3"/>
        <v>170.16409715340123</v>
      </c>
    </row>
    <row r="23" spans="1:26" ht="16.2" thickBot="1" x14ac:dyDescent="0.35">
      <c r="A23" s="107" t="s">
        <v>114</v>
      </c>
      <c r="B23">
        <f t="shared" ref="B23:U23" si="4">SUM(B2:B20)/18</f>
        <v>0.19184237388872966</v>
      </c>
      <c r="C23">
        <f t="shared" si="4"/>
        <v>1031.8949651509733</v>
      </c>
      <c r="D23">
        <f t="shared" si="4"/>
        <v>4974.2187914701844</v>
      </c>
      <c r="E23">
        <f t="shared" si="4"/>
        <v>8.8696060764678175E-2</v>
      </c>
      <c r="F23">
        <f t="shared" si="4"/>
        <v>1.7755228612135895E-2</v>
      </c>
      <c r="G23">
        <f t="shared" si="4"/>
        <v>7.4586870734334051E-2</v>
      </c>
      <c r="H23">
        <f t="shared" si="4"/>
        <v>0.18155306342928668</v>
      </c>
      <c r="I23">
        <f t="shared" si="4"/>
        <v>1.7261423536202993E-2</v>
      </c>
      <c r="J23">
        <f t="shared" si="4"/>
        <v>0.22033803544899327</v>
      </c>
      <c r="K23">
        <f t="shared" si="4"/>
        <v>66831.296595332853</v>
      </c>
      <c r="L23">
        <f t="shared" si="4"/>
        <v>13695.647087148338</v>
      </c>
      <c r="M23">
        <f t="shared" si="4"/>
        <v>31363.096233274679</v>
      </c>
      <c r="N23">
        <f t="shared" si="4"/>
        <v>3107.0873987466125</v>
      </c>
      <c r="O23">
        <f t="shared" si="4"/>
        <v>4579.4029580636143</v>
      </c>
      <c r="P23">
        <f t="shared" si="4"/>
        <v>338.98111555939073</v>
      </c>
      <c r="Q23">
        <f t="shared" si="4"/>
        <v>171.17494766127021</v>
      </c>
      <c r="R23">
        <f t="shared" si="4"/>
        <v>87.184405574749931</v>
      </c>
      <c r="S23">
        <f t="shared" si="4"/>
        <v>1.6020014266254246</v>
      </c>
      <c r="T23">
        <f t="shared" si="4"/>
        <v>218.02607786320451</v>
      </c>
      <c r="U23">
        <f t="shared" si="4"/>
        <v>134.03325345449076</v>
      </c>
    </row>
    <row r="24" spans="1:26" ht="16.2" thickBot="1" x14ac:dyDescent="0.35">
      <c r="A24" s="105"/>
    </row>
    <row r="25" spans="1:26" ht="16.2" thickBot="1" x14ac:dyDescent="0.35">
      <c r="A25" s="106" t="s">
        <v>193</v>
      </c>
      <c r="B25" s="109">
        <f t="shared" ref="B25:U25" si="5">B22/B23</f>
        <v>0.12621696261623261</v>
      </c>
      <c r="C25" s="109">
        <f t="shared" si="5"/>
        <v>0.14828351484043376</v>
      </c>
      <c r="D25" s="109">
        <f t="shared" si="5"/>
        <v>0.66737033904467191</v>
      </c>
      <c r="E25" s="109">
        <f t="shared" si="5"/>
        <v>0.16595042592352541</v>
      </c>
      <c r="F25" s="109">
        <f t="shared" si="5"/>
        <v>0.64893758399535595</v>
      </c>
      <c r="G25" s="109">
        <f t="shared" si="5"/>
        <v>0.58925867323821945</v>
      </c>
      <c r="H25" s="109">
        <f t="shared" si="5"/>
        <v>0.34263490537995955</v>
      </c>
      <c r="I25" s="109">
        <f t="shared" si="5"/>
        <v>0.63999192555562856</v>
      </c>
      <c r="J25" s="109">
        <f t="shared" si="5"/>
        <v>0.54397361302309766</v>
      </c>
      <c r="K25" s="109">
        <f t="shared" si="5"/>
        <v>0.61942879564649078</v>
      </c>
      <c r="L25" s="109">
        <f t="shared" si="5"/>
        <v>0.72808997769371664</v>
      </c>
      <c r="M25" s="109">
        <f t="shared" si="5"/>
        <v>0.70744292490414162</v>
      </c>
      <c r="N25" s="109">
        <f t="shared" si="5"/>
        <v>0.81853789324473691</v>
      </c>
      <c r="O25" s="109">
        <f t="shared" si="5"/>
        <v>1.5269509272439175</v>
      </c>
      <c r="P25" s="109">
        <f t="shared" si="5"/>
        <v>1.2650496876441724</v>
      </c>
      <c r="Q25" s="109">
        <f t="shared" si="5"/>
        <v>0.96824135210127915</v>
      </c>
      <c r="R25" s="109">
        <f t="shared" si="5"/>
        <v>0.94728057762286977</v>
      </c>
      <c r="S25" s="109">
        <f t="shared" si="5"/>
        <v>0.61666243105094365</v>
      </c>
      <c r="T25" s="109">
        <f t="shared" si="5"/>
        <v>1.1428887502381309</v>
      </c>
      <c r="U25" s="109">
        <f t="shared" si="5"/>
        <v>1.2695662663383622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322CA-9695-460A-BC55-77B3D35435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Selector</vt:lpstr>
      <vt:lpstr>Results</vt:lpstr>
      <vt:lpstr>Target</vt:lpstr>
      <vt:lpstr>Output</vt:lpstr>
      <vt:lpstr>Input</vt:lpstr>
      <vt:lpstr>DEA Plot</vt:lpstr>
      <vt:lpstr>Normalized_Output</vt:lpstr>
      <vt:lpstr>Normalized_Input</vt:lpstr>
      <vt:lpstr>Calculations</vt:lpstr>
      <vt:lpstr>ORG-Metrics</vt:lpstr>
      <vt:lpstr>PCA</vt:lpstr>
      <vt:lpstr>XLSTAT_20230403_150129_1_HID3</vt:lpstr>
      <vt:lpstr>XLSTAT_20230403_150129_1_HID2</vt:lpstr>
      <vt:lpstr>XLSTAT_20230403_150129_1_HID1</vt:lpstr>
      <vt:lpstr>XLSTAT_20230403_150129_1_HID</vt:lpstr>
      <vt:lpstr>REF LIST</vt:lpstr>
      <vt:lpstr>Main Page</vt:lpstr>
      <vt:lpstr>Sheet3</vt:lpstr>
      <vt:lpstr>Standard Deviation-Teaching</vt:lpstr>
      <vt:lpstr>Standard Deviation-Non Teaching</vt:lpstr>
      <vt:lpstr>Correlation</vt:lpstr>
      <vt:lpstr>Hospital Parsing</vt:lpstr>
      <vt:lpstr>Teaching Hospitals (Size)</vt:lpstr>
      <vt:lpstr>Non-Teaching Hospitals (Size)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Bader Al-Hilawani</dc:creator>
  <cp:keywords/>
  <dc:description/>
  <cp:lastModifiedBy>Bader Al-Hilawani</cp:lastModifiedBy>
  <cp:revision/>
  <dcterms:created xsi:type="dcterms:W3CDTF">2014-12-26T15:11:10Z</dcterms:created>
  <dcterms:modified xsi:type="dcterms:W3CDTF">2024-08-19T00:15:20Z</dcterms:modified>
  <cp:category/>
  <cp:contentStatus/>
</cp:coreProperties>
</file>